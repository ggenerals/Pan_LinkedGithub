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5"/>
  </bookViews>
  <sheets>
    <sheet name="第一轮题单1" sheetId="1" state="visible" r:id="rId3"/>
    <sheet name="第一轮题单2" sheetId="2" state="visible" r:id="rId4"/>
    <sheet name="讲课1" sheetId="3" state="visible" r:id="rId5"/>
    <sheet name="讲课2" sheetId="4" state="visible" r:id="rId6"/>
    <sheet name="讲课3" sheetId="5" state="visible" r:id="rId7"/>
    <sheet name="阶段3,4检验"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<sst xmlns="http://schemas.openxmlformats.org/spreadsheetml/2006/main" count="1082" uniqueCount="583">
  <si>
    <t xml:space="preserve">序号</t>
  </si>
  <si>
    <t xml:space="preserve">题目</t>
  </si>
  <si>
    <t xml:space="preserve">做题情况</t>
  </si>
  <si>
    <t xml:space="preserve">思路</t>
  </si>
  <si>
    <t xml:space="preserve">2026暑假第一轮-数据结构模板题单</t>
  </si>
  <si>
    <t xml:space="preserve">A</t>
  </si>
  <si>
    <t xml:space="preserve">复习模板1</t>
  </si>
  <si>
    <t xml:space="preserve">AC</t>
  </si>
  <si>
    <t xml:space="preserve">用矩阵维护转移可以免去挺多的分讨</t>
  </si>
  <si>
    <t xml:space="preserve">B</t>
  </si>
  <si>
    <t xml:space="preserve">复习模板2</t>
  </si>
  <si>
    <t xml:space="preserve">扫描线</t>
  </si>
  <si>
    <t xml:space="preserve">C</t>
  </si>
  <si>
    <t xml:space="preserve">动态开点</t>
  </si>
  <si>
    <t xml:space="preserve">D</t>
  </si>
  <si>
    <t xml:space="preserve">线段树合并 / [Vani 有约会] 雨天的尾巴</t>
  </si>
  <si>
    <t xml:space="preserve">递归合并，一方为空直接return,到叶子时暴力合并。最后根据子节点更新当前节点并且返回</t>
  </si>
  <si>
    <t xml:space="preserve">E</t>
  </si>
  <si>
    <t xml:space="preserve">标记永久化</t>
  </si>
  <si>
    <t xml:space="preserve">对于一些不好下传的懒标记，将其挂在这个节点上并合并懒标记，在查询操作时一路维护即可</t>
  </si>
  <si>
    <t xml:space="preserve">F</t>
  </si>
  <si>
    <t xml:space="preserve">势能线段树</t>
  </si>
  <si>
    <t xml:space="preserve"> 一般的，维护的信息在进行若干次操作之后将不会改变。因此维护区间进行操作是否还有意义</t>
  </si>
  <si>
    <t xml:space="preserve">G</t>
  </si>
  <si>
    <t xml:space="preserve">替罪羊树</t>
  </si>
  <si>
    <t xml:space="preserve">为了保持平衡树优秀的时间复杂度，在递归处理时，对遇到的第一个不满足要求(通过计算得到)的子树暴力重构使得其树高保持在log</t>
  </si>
  <si>
    <t xml:space="preserve">H</t>
  </si>
  <si>
    <t xml:space="preserve">BIT进阶</t>
  </si>
  <si>
    <t xml:space="preserve">部分分代码是二分函数峰值并用树状数组维护前后缀，优化：直接在树状数组上二分答案</t>
  </si>
  <si>
    <t xml:space="preserve">I</t>
  </si>
  <si>
    <t xml:space="preserve">线段树分治 / 二分图</t>
  </si>
  <si>
    <t xml:space="preserve">本质标记永久化+可撤销并查集</t>
  </si>
  <si>
    <t xml:space="preserve">J</t>
  </si>
  <si>
    <t xml:space="preserve">可持久化线段树 1（可持久化数组）</t>
  </si>
  <si>
    <t xml:space="preserve">每个版本都有一个独立的根，相同的部分则会共用节点，每个版本只会新增 log n 个节点</t>
  </si>
  <si>
    <t xml:space="preserve">K</t>
  </si>
  <si>
    <t xml:space="preserve">可持久化线段树 2</t>
  </si>
  <si>
    <t xml:space="preserve">同上</t>
  </si>
  <si>
    <t xml:space="preserve">L</t>
  </si>
  <si>
    <t xml:space="preserve">李超线段树 / [HEOI2013] Segment</t>
  </si>
  <si>
    <t xml:space="preserve">标记永久化，更新标记时，递归处理当前线段与原有答案的交点所在的区间，另一个直接覆盖</t>
  </si>
  <si>
    <t xml:space="preserve">M</t>
  </si>
  <si>
    <t xml:space="preserve">可持久化trie</t>
  </si>
  <si>
    <t xml:space="preserve">可持久化的trie</t>
  </si>
  <si>
    <t xml:space="preserve">N</t>
  </si>
  <si>
    <t xml:space="preserve">可持久化并查集</t>
  </si>
  <si>
    <t xml:space="preserve">可持久化的并查集 </t>
  </si>
  <si>
    <t xml:space="preserve">O</t>
  </si>
  <si>
    <t xml:space="preserve">K-D TREE1</t>
  </si>
  <si>
    <t xml:space="preserve">没有学习的必要</t>
  </si>
  <si>
    <t xml:space="preserve">P</t>
  </si>
  <si>
    <t xml:space="preserve">K-D TREE2</t>
  </si>
  <si>
    <t xml:space="preserve">Q</t>
  </si>
  <si>
    <t xml:space="preserve">平衡树相关</t>
  </si>
  <si>
    <t xml:space="preserve">平衡树基本操作，FHQ-Treap 通过 merge 和 split 操作来维持树的形态</t>
  </si>
  <si>
    <t xml:space="preserve">R</t>
  </si>
  <si>
    <t xml:space="preserve">注意到罚时总和&lt;1.5e6，因此用一个1.5e6*过题数-罚时表示一个人的分数，10s的实现直接上pbds</t>
  </si>
  <si>
    <t xml:space="preserve">S</t>
  </si>
  <si>
    <t xml:space="preserve">对于区间的询问，每次随机选一个数，由于众数出现次数大于一半，随机20次极大概率会随到众数。用平衡树快速check即可</t>
  </si>
  <si>
    <t xml:space="preserve">T</t>
  </si>
  <si>
    <t xml:space="preserve">树套树</t>
  </si>
  <si>
    <t xml:space="preserve">不带修可以用可持久化权值线段树解决，直接修改的话要对 len 棵线段树进行修改，考虑在外层用树状数组维护这个修改从而做到log^2</t>
  </si>
  <si>
    <t xml:space="preserve">U</t>
  </si>
  <si>
    <t xml:space="preserve">吉司机线段树</t>
  </si>
  <si>
    <t xml:space="preserve">V</t>
  </si>
  <si>
    <t xml:space="preserve">zkw线段树</t>
  </si>
  <si>
    <t xml:space="preserve">zkw是什么，这不就是普通线段树吗</t>
  </si>
  <si>
    <t xml:space="preserve">W</t>
  </si>
  <si>
    <t xml:space="preserve">线段树分裂</t>
  </si>
  <si>
    <t xml:space="preserve">通常按照权值划分，没什么好考的</t>
  </si>
  <si>
    <t xml:space="preserve">可持久化文艺平衡树</t>
  </si>
  <si>
    <t xml:space="preserve">split和merge操作通常成对存在，因此每个版本记录的树只会有一个节点的父子关系发生改变</t>
  </si>
  <si>
    <t xml:space="preserve">Y</t>
  </si>
  <si>
    <t xml:space="preserve">可并堆 1</t>
  </si>
  <si>
    <t xml:space="preserve">pbds板子</t>
  </si>
  <si>
    <t xml:space="preserve">Z</t>
  </si>
  <si>
    <t xml:space="preserve">树同构 / [BJOI2015] 树的同构</t>
  </si>
  <si>
    <t xml:space="preserve">对子树的哈希值做哈希得到与子树结构相关的哈希，再通过换根dp得到各根哈希，取最小值判树同构。</t>
  </si>
  <si>
    <t xml:space="preserve">AA</t>
  </si>
  <si>
    <t xml:space="preserve">树哈希</t>
  </si>
  <si>
    <t xml:space="preserve">这个和ds有关系吗</t>
  </si>
  <si>
    <t xml:space="preserve">AB</t>
  </si>
  <si>
    <t xml:space="preserve">可持久化平衡树</t>
  </si>
  <si>
    <t xml:space="preserve">FHQ使用merge和split，而这不会导致树的形态发生大的变换，于是每次修改在复制的节点上进行即可</t>
  </si>
  <si>
    <t xml:space="preserve">Something else: ds要想清楚维护什么，怎么维护再开始写，同时要有耐心。1天多写完说实话太赶了，AI用的有点多，甚至导致写ds把码力写弱了</t>
  </si>
  <si>
    <t xml:space="preserve">2026暑假第一轮-非经典算法模板题单</t>
  </si>
  <si>
    <t xml:space="preserve">CDQ1</t>
  </si>
  <si>
    <t xml:space="preserve">用排序可以处理掉第一维，第二维用分治排序+递归处理左右区间分别的贡献，最后用树状数组维护左区间对右区间的贡献</t>
  </si>
  <si>
    <t xml:space="preserve">CDQ2</t>
  </si>
  <si>
    <t xml:space="preserve">Dp,转移 f_i=max f_j +1 ，要满足 j&lt;i,probable_max_j&lt;=a_i,a_j&lt;=probable_min_i。cdq分治维护</t>
  </si>
  <si>
    <t xml:space="preserve">整体二分</t>
  </si>
  <si>
    <t xml:space="preserve">在序列上维护多组询问的答案，通过一次二分将当前的询问分到左右区间继续递归</t>
  </si>
  <si>
    <t xml:space="preserve">二进制分组</t>
  </si>
  <si>
    <t xml:space="preserve">未写代码</t>
  </si>
  <si>
    <t xml:space="preserve">动态加点的线段树，因为在线加入单点，所以动态维护一颗线段树处理询问即可</t>
  </si>
  <si>
    <t xml:space="preserve">带修莫队 / [国家集训队] 数颜色 / 维护队列</t>
  </si>
  <si>
    <t xml:space="preserve">在普通莫队的基础上再开一维时间维，也对其分块并维护贡献</t>
  </si>
  <si>
    <t xml:space="preserve">回滚莫队&amp;不删除莫队</t>
  </si>
  <si>
    <t xml:space="preserve">删除操作开销较大时，左指针从当前块的最右端开始，右指针从左往右扫，对于左指针的扩展使用临时数组额外记录，下一次回退时借助临时数组</t>
  </si>
  <si>
    <t xml:space="preserve">Count on a tree II</t>
  </si>
  <si>
    <t xml:space="preserve">糖果公园</t>
  </si>
  <si>
    <t xml:space="preserve">对树建立括号序列，由于要减去子树的多余贡献，使用带修莫队。</t>
  </si>
  <si>
    <t xml:space="preserve">Path</t>
  </si>
  <si>
    <t xml:space="preserve">块状链表</t>
  </si>
  <si>
    <t xml:space="preserve">暴力也能过。</t>
  </si>
  <si>
    <t xml:space="preserve">二次离线莫队</t>
  </si>
  <si>
    <t xml:space="preserve">2026暑假第一轮-DP模板题单</t>
  </si>
  <si>
    <t xml:space="preserve">宝物筛选</t>
  </si>
  <si>
    <t xml:space="preserve">背包转移要注意内层循环是正序还是倒序</t>
  </si>
  <si>
    <t xml:space="preserve">概率期望DP</t>
  </si>
  <si>
    <t xml:space="preserve">正推概率倒推期望，以及期望的线性性</t>
  </si>
  <si>
    <t xml:space="preserve">数位DP</t>
  </si>
  <si>
    <t xml:space="preserve">本质记忆化搜索加剪枝</t>
  </si>
  <si>
    <t xml:space="preserve">斜率优化1</t>
  </si>
  <si>
    <t xml:space="preserve">转移点的位置具有单调性，维护一个单调队列即可</t>
  </si>
  <si>
    <t xml:space="preserve">斜率优化2</t>
  </si>
  <si>
    <t xml:space="preserve">将转移式移项，不难发现是一个形如y=kx+b，用李超线段树维护</t>
  </si>
  <si>
    <t xml:space="preserve">决策单调性</t>
  </si>
  <si>
    <t xml:space="preserve">简易LARCHS，注意到W(l,r)需要用莫队维护，如果 l-mid 和 mid-r 用一个莫队移动次数会多很多，所以开两个</t>
  </si>
  <si>
    <t xml:space="preserve">WQS二分1</t>
  </si>
  <si>
    <t xml:space="preserve">WQS二分将恰好选k个转化为任意选，二分每次选择的额外代价，通过dp计算出此时的最优解以及选了多少个，并据此二分直到最优解选取的个数为k</t>
  </si>
  <si>
    <t xml:space="preserve">WQS二分 ex练习：https://www.luogu.com.cn/article/3iw5frda</t>
  </si>
  <si>
    <t xml:space="preserve">WQS二分2</t>
  </si>
  <si>
    <t xml:space="preserve">通过为限定的选项添加额外代价并不断调整的方式求出一个额外代价使得选了题目所要求的k个</t>
  </si>
  <si>
    <t xml:space="preserve">WQS二分3</t>
  </si>
  <si>
    <t xml:space="preserve">质因子状压</t>
  </si>
  <si>
    <t xml:space="preserve">暂时没有学习的必要性</t>
  </si>
  <si>
    <t xml:space="preserve">DP套DP1</t>
  </si>
  <si>
    <t xml:space="preserve">DP套DP2</t>
  </si>
  <si>
    <t xml:space="preserve">动态 DP</t>
  </si>
  <si>
    <t xml:space="preserve">插头 DP</t>
  </si>
  <si>
    <t xml:space="preserve">2026暑假第一轮-图论模板</t>
  </si>
  <si>
    <t xml:space="preserve">重链剖分 / 树链剖分</t>
  </si>
  <si>
    <t xml:space="preserve">根据深度分出轻重儿子， 可以证明一条从根开始的路径之多经过 log n条重链，用ds维护链上信息</t>
  </si>
  <si>
    <t xml:space="preserve">树上启发式合并</t>
  </si>
  <si>
    <t xml:space="preserve">继承重儿子的ds状态并暴力加入轻儿子，复杂度同重剖</t>
  </si>
  <si>
    <t xml:space="preserve">点分治</t>
  </si>
  <si>
    <t xml:space="preserve">分治，对于当前的分治中心/重心（根），统计该子树内经过当前根节点的答案以及不经过根节点的答案。</t>
  </si>
  <si>
    <t xml:space="preserve">虚树 / [SDOI2011] 消耗战</t>
  </si>
  <si>
    <t xml:space="preserve">当关键点点集较小时，只保留这些点和它们的 LCA，将其他的点压缩起来，这样在使得仍可进行dp等操作的情况下大大减小复杂度</t>
  </si>
  <si>
    <t xml:space="preserve">长链剖分</t>
  </si>
  <si>
    <t xml:space="preserve">将树按照深度划分为若干条链，每次操作都拆成对若干条链（不超过log n条）进行操作</t>
  </si>
  <si>
    <t xml:space="preserve">点分树 / 震波</t>
  </si>
  <si>
    <t xml:space="preserve">点分治可以很好的处理树上路径问题，若将每次递归的重心连边，则新树的树高不超过 log n，因此可以用一些本来复杂度并不对的算法来解决问题</t>
  </si>
  <si>
    <t xml:space="preserve">最短路扩展</t>
  </si>
  <si>
    <t xml:space="preserve">最短路，分讨转移</t>
  </si>
  <si>
    <t xml:space="preserve">差分约束</t>
  </si>
  <si>
    <t xml:space="preserve">将约束关系 a-b&lt;c 看成连边 (a,b,c)</t>
  </si>
  <si>
    <t xml:space="preserve">生成树扩展</t>
  </si>
  <si>
    <t xml:space="preserve">提前将所有边排序，减少log，枚举启用哪几个拓展点</t>
  </si>
  <si>
    <t xml:space="preserve">图论建模</t>
  </si>
  <si>
    <t xml:space="preserve">同余最短路。若有 $ax=b$，求 $b$ 的数量，则 $ax=b+kx$ 均为可行解</t>
  </si>
  <si>
    <t xml:space="preserve">2-SAT</t>
  </si>
  <si>
    <t xml:space="preserve">对于每个点建立反点，通过Tarjan缩点，则一个强连通分块中的点取值会相同</t>
  </si>
  <si>
    <t xml:space="preserve">最小斯坦纳树</t>
  </si>
  <si>
    <t xml:space="preserve">Kruskal 重构树</t>
  </si>
  <si>
    <t xml:space="preserve">将kruskal最小生成树上的边看成点，边权转为点权，满足小/大根堆性质</t>
  </si>
  <si>
    <t xml:space="preserve">边双连通分量</t>
  </si>
  <si>
    <t xml:space="preserve">tarjan板子</t>
  </si>
  <si>
    <t xml:space="preserve">圆方树</t>
  </si>
  <si>
    <t xml:space="preserve">同一个强连通分块用一个中心点连成菊花图，再将中心点相连</t>
  </si>
  <si>
    <t xml:space="preserve">平面图</t>
  </si>
  <si>
    <t xml:space="preserve">竞赛图</t>
  </si>
  <si>
    <t xml:space="preserve">最小树形图</t>
  </si>
  <si>
    <t xml:space="preserve">支配树</t>
  </si>
  <si>
    <t xml:space="preserve">对偶图</t>
  </si>
  <si>
    <t xml:space="preserve">2026暑假第一轮-字符串模板</t>
  </si>
  <si>
    <t xml:space="preserve">Manacher</t>
  </si>
  <si>
    <t xml:space="preserve">利用对称性并复用已有回文信息，计算字符串中所有回文子串长度的算法。</t>
  </si>
  <si>
    <t xml:space="preserve">扩展 KMP / exKMP（Z 函数）</t>
  </si>
  <si>
    <t xml:space="preserve">利用已经匹配的区间的“回文/复制”规律（Z-box），在主串不回溯的情况下，通过历史匹配结果来加速计算后缀与模式串的最长公共前缀。</t>
  </si>
  <si>
    <t xml:space="preserve">最小表示法</t>
  </si>
  <si>
    <t xml:space="preserve">利用双指针在字符串中同向移动并比较字符，一旦发现不匹配，就利用两指针的相对偏移量直接跳过绝对不可能作为最小循环同构串起始位置的下标</t>
  </si>
  <si>
    <t xml:space="preserve">AC 自动机</t>
  </si>
  <si>
    <t xml:space="preserve">利用fail指针快速跳转到下一个可能匹配的地方</t>
  </si>
  <si>
    <t xml:space="preserve">KMP</t>
  </si>
  <si>
    <t xml:space="preserve">利用匹配失败后的信息，通过预先计算的 next 数组跳过已匹配的字符，从而避免回溯文本串指针</t>
  </si>
  <si>
    <t xml:space="preserve">后缀自动机（SAM）</t>
  </si>
  <si>
    <t xml:space="preserve">后缀数组</t>
  </si>
  <si>
    <t xml:space="preserve">排序时二分两个串第一个不同的位置，利用Hash快速判断</t>
  </si>
  <si>
    <t xml:space="preserve">LCP</t>
  </si>
  <si>
    <t xml:space="preserve">回文树 / 回文自动机（PAM）</t>
  </si>
  <si>
    <t xml:space="preserve">广义后缀自动机（广义 SAM）</t>
  </si>
  <si>
    <t xml:space="preserve">后缀平衡树</t>
  </si>
  <si>
    <t xml:space="preserve">子序列自动机</t>
  </si>
  <si>
    <t xml:space="preserve">从0开始跳，每次跳到它后面第一个a_i的位置。看看最后是否不在n+1</t>
  </si>
  <si>
    <t xml:space="preserve">2026暑假第一轮-数论与数学基础</t>
  </si>
  <si>
    <t xml:space="preserve">编号</t>
  </si>
  <si>
    <t xml:space="preserve">标题</t>
  </si>
  <si>
    <t xml:space="preserve">拉格朗日插值1</t>
  </si>
  <si>
    <t xml:space="preserve">对于每个点构造函数使得f(x=x_i)=1 ,f(x=x_j)=0，最后总函数加和即可</t>
  </si>
  <si>
    <t xml:space="preserve">拉格朗日插值2</t>
  </si>
  <si>
    <t xml:space="preserve">可以证明，\sum_{i=1}^{n} i^k是一个 k+1 次多项式，计算前 k+2项后插出第n项</t>
  </si>
  <si>
    <t xml:space="preserve">拉格朗日插值3</t>
  </si>
  <si>
    <t xml:space="preserve">注意到m极小，显然k=m+1减去为空的后缀，则答案形如若干上式相加</t>
  </si>
  <si>
    <t xml:space="preserve">min-max</t>
  </si>
  <si>
    <t xml:space="preserve">在概率期望上的表现形式为集合S全部被选至少一次=max(S)，有一个被选=min(S)</t>
  </si>
  <si>
    <t xml:space="preserve">用FWT快速求出min(S)的值，套上min-max容斥得到答案</t>
  </si>
  <si>
    <t xml:space="preserve">三分/单峰函数</t>
  </si>
  <si>
    <t xml:space="preserve">采用微分的思想，将线段拆成若干个点，分别枚举两条线段上到哪个点并取最小值</t>
  </si>
  <si>
    <t xml:space="preserve">中国剩余定理（CRT）/ 曹冲养猪</t>
  </si>
  <si>
    <t xml:space="preserve">模板题，CRT严格小于exCRT</t>
  </si>
  <si>
    <t xml:space="preserve">BSGS / [TJOI2007] 可爱的质数</t>
  </si>
  <si>
    <t xml:space="preserve">分块，将原方程 A^x = B mod C 中的指数 x 拆分为 i * m - j 的形式，通过预计算并存表所有“小步” A^j 的值，来快速匹配“大步” A^mi 的值</t>
  </si>
  <si>
    <t xml:space="preserve">卢卡斯定理 / Lucas 定理</t>
  </si>
  <si>
    <t xml:space="preserve">当p为质数时，Cn,m=Cn/p,m/p  *  C n%p,m%p %p</t>
  </si>
  <si>
    <t xml:space="preserve">扩展中国剩余定理（EXCRT）</t>
  </si>
  <si>
    <t xml:space="preserve">模板题，用同余的性质代换后解不定方程得到合并后的同余方程</t>
  </si>
  <si>
    <t xml:space="preserve">扩展欧拉定理</t>
  </si>
  <si>
    <t xml:space="preserve">可对于任意模数下的次幂进行降幂，a^b mod m=a^{b mod phi(m)+phi(m)} mod m</t>
  </si>
  <si>
    <t xml:space="preserve">原根</t>
  </si>
  <si>
    <t xml:space="preserve">一个数有原根当且仅当是2、4或p^k、2*p^k，其中 p 为奇素数。一般的，最小原根不会超过1/4， 暴力枚举即可</t>
  </si>
  <si>
    <t xml:space="preserve">扩展卢卡斯定理 / exLucas</t>
  </si>
  <si>
    <t xml:space="preserve">将 p 质因数分解,用中国剩余定理（CRT）快速合并答案。同时递归计算阶乘去除质因子</t>
  </si>
  <si>
    <t xml:space="preserve">莫反</t>
  </si>
  <si>
    <t xml:space="preserve">利用 [n==1]=\sum_{d|n} \mu(d)，将 [gcd()==1] 转为莫比乌斯函数的求和，线性筛+预处理前缀和，利用数论分块sqrt(n)回答询问</t>
  </si>
  <si>
    <t xml:space="preserve">枚举fib，将乘积写成次幂相乘，利用莫反优化指数求和</t>
  </si>
  <si>
    <t xml:space="preserve">凸包-闵可夫斯基和</t>
  </si>
  <si>
    <t xml:space="preserve">首先只用关注A,B凸包上的点，若有一个A中的点加上向量w之后与B中的一点重合，则a+w=b,因此维护a-b这个凸集，查询w是否在这个凸集中即可</t>
  </si>
  <si>
    <t xml:space="preserve">Pollard-Rho</t>
  </si>
  <si>
    <t xml:space="preserve">杜教筛</t>
  </si>
  <si>
    <t xml:space="preserve">利用积性函数构造出要求的函数，怎么构造呢，注意到</t>
  </si>
  <si>
    <t xml:space="preserve">2026暑假第一轮-概率论和线性代数</t>
  </si>
  <si>
    <t xml:space="preserve">概率与期望1</t>
  </si>
  <si>
    <t xml:space="preserve">正推概率，倒退期望</t>
  </si>
  <si>
    <t xml:space="preserve">概率与期望2</t>
  </si>
  <si>
    <t xml:space="preserve">dp，考虑从哪个状态转移，转移的概率为多少</t>
  </si>
  <si>
    <t xml:space="preserve">概率与期望3</t>
  </si>
  <si>
    <t xml:space="preserve">先用floyd处理最短路，再按照题意依次进行转移</t>
  </si>
  <si>
    <t xml:space="preserve">概率与期望4</t>
  </si>
  <si>
    <t xml:space="preserve">贪心的对期望经过次数更多的边赋上更大的边权，而边的期望可以通过两端的点的期望求出，点的期望则通过点之间的转移方程构造方程组，用高斯消元求解</t>
  </si>
  <si>
    <t xml:space="preserve">高消</t>
  </si>
  <si>
    <t xml:space="preserve">模板题，每次找到绝对值最大的消元，消成上三角矩阵后倒推求出答案</t>
  </si>
  <si>
    <t xml:space="preserve">高消2</t>
  </si>
  <si>
    <t xml:space="preserve">高斯消元化简式子后直接做，但考虑可以模拟退火，利用势能去更新（拉扯）圆心</t>
  </si>
  <si>
    <t xml:space="preserve">高消3</t>
  </si>
  <si>
    <t xml:space="preserve">枚举哪一个式子是错误的，高斯消元 n^3 判断</t>
  </si>
  <si>
    <t xml:space="preserve">异或高消</t>
  </si>
  <si>
    <t xml:space="preserve">题意不难转换为求解一个异或方程组，并求出至少要前几个方程可以确定所有值。套用普通高斯消元做法+使用bitset优化时间即可</t>
  </si>
  <si>
    <t xml:space="preserve">异或高消2</t>
  </si>
  <si>
    <t xml:space="preserve">同样转化过程求解异或方程组，只不过在出现自由元时直接钦定为1即可</t>
  </si>
  <si>
    <t xml:space="preserve">行列式求值</t>
  </si>
  <si>
    <t xml:space="preserve">考虑高斯消元的每一步对行列式的影响：交换两行=×(−1)，一行乘=×k，一行加另一行的若干倍=不变</t>
  </si>
  <si>
    <t xml:space="preserve">矩阵求逆</t>
  </si>
  <si>
    <t xml:space="preserve">求A的逆即为求一个B满足 A*B=I，其中I为单位矩阵。不妨进行高斯消元，并将每一步操作同步到单位矩阵上，不难证明，当A消成I后，I=B</t>
  </si>
  <si>
    <t xml:space="preserve">Matrix-Tree 定理</t>
  </si>
  <si>
    <t xml:space="preserve">BEST 定理 / Which Dreamed It</t>
  </si>
  <si>
    <t xml:space="preserve">LGV</t>
  </si>
  <si>
    <t xml:space="preserve">线性基</t>
  </si>
  <si>
    <t xml:space="preserve">用一个长为 log n 的数组记录当前的所有数是否能异或出 2^i，插入和查询异或和最大均为 log n</t>
  </si>
  <si>
    <t xml:space="preserve">线性基2</t>
  </si>
  <si>
    <t xml:space="preserve">注意到若有 a^b=c，则 a^c=b,b^c=a，当产生冲突时，若新的更大，显然可以将原来的那一项置换出来。排序之后用线性基快速判断是否合法</t>
  </si>
  <si>
    <t xml:space="preserve">线性基3</t>
  </si>
  <si>
    <t xml:space="preserve">不妨将状态看成一个二进制数，则问题变为n个数可以异或出多少个数，线性基直接做即可</t>
  </si>
  <si>
    <t xml:space="preserve">线性基4</t>
  </si>
  <si>
    <t xml:space="preserve">不错的题，一种自然的想法是处理倍增数组的同时记录下对应的线性基，查询同理，复杂度 log^3。考虑优化，由于异或的性质，重复的数不会对答案造成影响，
因此我们记录从root到x的线性基，在维护第i位时取深度最大的，这样可以快速判断是否能产生贡献，log^2</t>
  </si>
  <si>
    <t xml:space="preserve">2026暑假第一轮-博弈论、计算几何、多项式</t>
  </si>
  <si>
    <t xml:space="preserve">Nim 游戏</t>
  </si>
  <si>
    <t xml:space="preserve">模板题，只要所有石子的异或和不为0则先手必胜</t>
  </si>
  <si>
    <t xml:space="preserve">SG函数</t>
  </si>
  <si>
    <t xml:space="preserve">dp递推预处理出所有答案，O(1)回答询问</t>
  </si>
  <si>
    <t xml:space="preserve">二维凸包 / [USACO5.1] 圈奶牛Fencing the Cows</t>
  </si>
  <si>
    <t xml:space="preserve">用两遍单调栈处理出上凸与下凸即可</t>
  </si>
  <si>
    <t xml:space="preserve">旋转卡壳/最远点对</t>
  </si>
  <si>
    <t xml:space="preserve">半平面交 / [CQOI2006] 凸多边形</t>
  </si>
  <si>
    <t xml:space="preserve">生成函数1</t>
  </si>
  <si>
    <t xml:space="preserve">生成函数2</t>
  </si>
  <si>
    <t xml:space="preserve">生成函数3</t>
  </si>
  <si>
    <t xml:space="preserve">多项式乘法（FFT）</t>
  </si>
  <si>
    <t xml:space="preserve">运用插值的思想，先将要相乘的多项式转为点值，再将点值相乘，最后转回去</t>
  </si>
  <si>
    <t xml:space="preserve">多项式除法</t>
  </si>
  <si>
    <t xml:space="preserve">多项式对数函数（多项式 ln）</t>
  </si>
  <si>
    <t xml:space="preserve">多项式指数函数（多项式 exp）</t>
  </si>
  <si>
    <t xml:space="preserve">子集卷积</t>
  </si>
  <si>
    <t xml:space="preserve">通过FMT将问题转化为按集合大小分类的多项式乘法，利用“子集大小之和等于并集大小”保证参与运算的两个子集互不相交，再通过逆FMT得到最终结果。</t>
  </si>
  <si>
    <t xml:space="preserve">高维前缀和</t>
  </si>
  <si>
    <t xml:space="preserve">每一维对于上一维进行一次前缀和</t>
  </si>
  <si>
    <t xml:space="preserve">快速莫比乌斯 / 沃尔什变换 (FMT / FWT)</t>
  </si>
  <si>
    <t xml:space="preserve">主要处理 子集/超集 的位运算，通过拆成二进制为并判断从0/1转移来满足子集/超集的限制</t>
  </si>
  <si>
    <t xml:space="preserve">集合幂级数</t>
  </si>
  <si>
    <t xml:space="preserve">二项式反演</t>
  </si>
  <si>
    <t xml:space="preserve">卡常数</t>
  </si>
  <si>
    <t xml:space="preserve">高维前缀和与FWT和FMT</t>
  </si>
  <si>
    <t xml:space="preserve">前缀累加</t>
  </si>
  <si>
    <t xml:space="preserve">区域求和</t>
  </si>
  <si>
    <t xml:space="preserve">子集 Zeta FMT</t>
  </si>
  <si>
    <t xml:space="preserve">子集累加</t>
  </si>
  <si>
    <t xml:space="preserve">01 维前缀和</t>
  </si>
  <si>
    <t xml:space="preserve">子集 Möbius</t>
  </si>
  <si>
    <t xml:space="preserve">子集差分</t>
  </si>
  <si>
    <t xml:space="preserve">Zeta 的逆（差分）</t>
  </si>
  <si>
    <t xml:space="preserve">XOR FWT</t>
  </si>
  <si>
    <t xml:space="preserve">x+y,x−y</t>
  </si>
  <si>
    <t xml:space="preserve">Walsh-Hadamard 变换</t>
  </si>
  <si>
    <t xml:space="preserve">阶段34线性代数</t>
  </si>
  <si>
    <t xml:space="preserve">Matrix Power Series</t>
  </si>
  <si>
    <t xml:space="preserve">递归+矩阵乘法</t>
  </si>
  <si>
    <t xml:space="preserve">化学方程式配平</t>
  </si>
  <si>
    <t xml:space="preserve">高斯消元求解多元一次方程</t>
  </si>
  <si>
    <t xml:space="preserve">游走</t>
  </si>
  <si>
    <t xml:space="preserve">将边的期望转换为点的期望，利用高斯消元求解期望方程</t>
  </si>
  <si>
    <t xml:space="preserve">治疗之雨</t>
  </si>
  <si>
    <t xml:space="preserve">用dp的形式刻画期望，高斯消元求解</t>
  </si>
  <si>
    <t xml:space="preserve">硬币游戏</t>
  </si>
  <si>
    <t xml:space="preserve">随机游走</t>
  </si>
  <si>
    <t xml:space="preserve">路径交点</t>
  </si>
  <si>
    <t xml:space="preserve">所有交点的奇偶性、和直接连接左右的交点的奇偶性相同，于是转为逆序对个数，利用行列式的定义求出逆序对</t>
  </si>
  <si>
    <t xml:space="preserve">小 Z 的房间</t>
  </si>
  <si>
    <t xml:space="preserve">对网格图建模后使用矩阵树定理</t>
  </si>
  <si>
    <t xml:space="preserve">重建</t>
  </si>
  <si>
    <t xml:space="preserve">简单的推式子，并转换为带权生成树计数</t>
  </si>
  <si>
    <t xml:space="preserve">作业题</t>
  </si>
  <si>
    <t xml:space="preserve">生成树计数</t>
  </si>
  <si>
    <t xml:space="preserve">黑暗前的幻想乡</t>
  </si>
  <si>
    <t xml:space="preserve">容斥出选哪几种边，用矩阵树定理求出贡献</t>
  </si>
  <si>
    <t xml:space="preserve">最小生成树计数</t>
  </si>
  <si>
    <t xml:space="preserve">Routing Schemes P</t>
  </si>
  <si>
    <t xml:space="preserve">16 Integers</t>
  </si>
  <si>
    <t xml:space="preserve">最大流</t>
  </si>
  <si>
    <t xml:space="preserve">Now or Never</t>
  </si>
  <si>
    <t xml:space="preserve">Range Xor Subsequence Query</t>
  </si>
  <si>
    <t xml:space="preserve">XOR and Even</t>
  </si>
  <si>
    <t xml:space="preserve">考虑将每个数（包括x）的第 31 位设为1,则选最大时一定会选择偶数个数</t>
  </si>
  <si>
    <t xml:space="preserve">TEST_34</t>
  </si>
  <si>
    <t xml:space="preserve">令异或的差分 c_i=a_i-1^a_i，则答案可以表示为 max(max(XOR c_l-c_r xor X) ,XOR c_l_c_r xor X xor A_l )，zak的做法将第i个数以1/2的概率加入第t个集合，每次从这T个集合中取出区间内的数组成线性基，正确率极大</t>
  </si>
  <si>
    <t xml:space="preserve">圣剑护符</t>
  </si>
  <si>
    <t xml:space="preserve">Fiolki 2</t>
  </si>
  <si>
    <t xml:space="preserve">X</t>
  </si>
  <si>
    <t xml:space="preserve">旅行路线</t>
  </si>
  <si>
    <t xml:space="preserve">LGV 引理</t>
  </si>
  <si>
    <t xml:space="preserve">Turtles</t>
  </si>
  <si>
    <t xml:space="preserve">序列计数</t>
  </si>
  <si>
    <t xml:space="preserve">正难则反，考虑求出不管选没选素数的方案和没选素数的方案，转移当前%p余几，矩阵快速幂优化</t>
  </si>
  <si>
    <t xml:space="preserve">数学作业</t>
  </si>
  <si>
    <t xml:space="preserve">dp并矩阵快速幂优化</t>
  </si>
  <si>
    <t xml:space="preserve">魔法值</t>
  </si>
  <si>
    <t xml:space="preserve">显然可以用矩阵刻画出题目的转移，注意到0/1矩阵的xor/* 具有结合律，用bitset维护矩阵即可</t>
  </si>
  <si>
    <t xml:space="preserve">AD</t>
  </si>
  <si>
    <t xml:space="preserve">专心OI - 跳房子</t>
  </si>
  <si>
    <t xml:space="preserve">简单dp，注意到 m 极小，使用矩阵快速幂加速转移</t>
  </si>
  <si>
    <t xml:space="preserve">AE</t>
  </si>
  <si>
    <t xml:space="preserve">Asterism Stream</t>
  </si>
  <si>
    <t xml:space="preserve">阶段5容斥及反演</t>
  </si>
  <si>
    <t xml:space="preserve">小星星</t>
  </si>
  <si>
    <t xml:space="preserve">员工招聘</t>
  </si>
  <si>
    <t xml:space="preserve">记录f_i,j,k 表示前i个人失败了j个，有k个人的c&gt;j，但这k个人没有确定是谁。直接转移</t>
  </si>
  <si>
    <t xml:space="preserve">卡牌</t>
  </si>
  <si>
    <t xml:space="preserve">排列计数</t>
  </si>
  <si>
    <t xml:space="preserve">简单dp</t>
  </si>
  <si>
    <t xml:space="preserve">已经没有什么好害怕的了</t>
  </si>
  <si>
    <t xml:space="preserve">记 f_i,j 表示前i个a,钦定有 j 个a&gt;b的方案数，则 f_n,j*(n-j)! 即为至少j个a&gt;b的答案，二项式反演得到答案</t>
  </si>
  <si>
    <t xml:space="preserve">pin (day2)</t>
  </si>
  <si>
    <t xml:space="preserve">将字符串转为37进制数，对于恰好d位不同的限制，转换为至少d位不同的限制，用桶求解答案后容斥即可</t>
  </si>
  <si>
    <t xml:space="preserve">染色问题</t>
  </si>
  <si>
    <t xml:space="preserve">容斥套路题</t>
  </si>
  <si>
    <t xml:space="preserve">游戏</t>
  </si>
  <si>
    <t xml:space="preserve">Crash 的文明世界</t>
  </si>
  <si>
    <t xml:space="preserve">Bags with Balls</t>
  </si>
  <si>
    <t xml:space="preserve">按位或</t>
  </si>
  <si>
    <t xml:space="preserve">首先使用FMT处理出每一个的单独出现概率，再套min-max</t>
  </si>
  <si>
    <t xml:space="preserve">重返现世</t>
  </si>
  <si>
    <t xml:space="preserve">Card Collector</t>
  </si>
  <si>
    <t xml:space="preserve">简单min-max容斥</t>
  </si>
  <si>
    <t xml:space="preserve">计算</t>
  </si>
  <si>
    <t xml:space="preserve">Vladik and Entertaining Flags</t>
  </si>
  <si>
    <t xml:space="preserve">平面图欧拉公式：对于一个平面图而言，点减边加面等于连通块数。利用对偶图将最小环转为最大连通块，扫描线维护</t>
  </si>
  <si>
    <t xml:space="preserve">Double Sum 3</t>
  </si>
  <si>
    <t xml:space="preserve">点边容斥，考虑题目条件等价于在链上做这个，记录每个数上一次出现位置即可</t>
  </si>
  <si>
    <t xml:space="preserve">阶段4图论5</t>
  </si>
  <si>
    <t xml:space="preserve">Capitalism</t>
  </si>
  <si>
    <t xml:space="preserve">Envy</t>
  </si>
  <si>
    <t xml:space="preserve">Riddle</t>
  </si>
  <si>
    <t xml:space="preserve">矩阵游戏</t>
  </si>
  <si>
    <t xml:space="preserve">Indecisive Taxi Fee</t>
  </si>
  <si>
    <t xml:space="preserve">Honest or Liar or Confused</t>
  </si>
  <si>
    <t xml:space="preserve">Superb Graphs</t>
  </si>
  <si>
    <t xml:space="preserve">造桥与砍树</t>
  </si>
  <si>
    <t xml:space="preserve">最小生成树</t>
  </si>
  <si>
    <t xml:space="preserve">货车运输</t>
  </si>
  <si>
    <t xml:space="preserve">归程</t>
  </si>
  <si>
    <t xml:space="preserve">Peaks 加强版</t>
  </si>
  <si>
    <t xml:space="preserve">werewolf 狼人</t>
  </si>
  <si>
    <t xml:space="preserve">『GROI-R3』Star Trip</t>
  </si>
  <si>
    <t xml:space="preserve">Journey</t>
  </si>
  <si>
    <t xml:space="preserve">铁人两项</t>
  </si>
  <si>
    <t xml:space="preserve">道路相遇</t>
  </si>
  <si>
    <t xml:space="preserve">战略游戏</t>
  </si>
  <si>
    <t xml:space="preserve">Tourists</t>
  </si>
  <si>
    <t xml:space="preserve">阶段5多项式1</t>
  </si>
  <si>
    <t xml:space="preserve">高精度乘法 / A*B Problem 升级版</t>
  </si>
  <si>
    <t xml:space="preserve">任意模数多项式乘法</t>
  </si>
  <si>
    <t xml:space="preserve">残缺的字符串</t>
  </si>
  <si>
    <t xml:space="preserve">Zimpha Fan Club</t>
  </si>
  <si>
    <t xml:space="preserve">城市规划</t>
  </si>
  <si>
    <t xml:space="preserve">常系数齐次线性递推</t>
  </si>
  <si>
    <t xml:space="preserve">calc</t>
  </si>
  <si>
    <t xml:space="preserve">填树</t>
  </si>
  <si>
    <t xml:space="preserve">The Sum of the k-th Powers</t>
  </si>
  <si>
    <t xml:space="preserve">木棍</t>
  </si>
  <si>
    <t xml:space="preserve">骗我呢</t>
  </si>
  <si>
    <t xml:space="preserve">Sweets</t>
  </si>
  <si>
    <t xml:space="preserve">整数的lqp拆分</t>
  </si>
  <si>
    <t xml:space="preserve">概率论</t>
  </si>
  <si>
    <t xml:space="preserve">BZOJ3028 食物</t>
  </si>
  <si>
    <t xml:space="preserve">阶段4计算几何1</t>
  </si>
  <si>
    <t xml:space="preserve">二人的星座 / Constellation 2</t>
  </si>
  <si>
    <t xml:space="preserve">奶酪</t>
  </si>
  <si>
    <t xml:space="preserve">Cave Cows 3</t>
  </si>
  <si>
    <t xml:space="preserve">求和</t>
  </si>
  <si>
    <t xml:space="preserve">MAG-Warehouse</t>
  </si>
  <si>
    <t xml:space="preserve">pairs 动物对数</t>
  </si>
  <si>
    <t xml:space="preserve">松鼠聚会</t>
  </si>
  <si>
    <t xml:space="preserve">Multiple Choice Test P</t>
  </si>
  <si>
    <t xml:space="preserve">信用卡凸包</t>
  </si>
  <si>
    <t xml:space="preserve">战争</t>
  </si>
  <si>
    <t xml:space="preserve">Beauty Contest G</t>
  </si>
  <si>
    <t xml:space="preserve">最小矩形覆盖</t>
  </si>
  <si>
    <t xml:space="preserve">阶段4网络流1</t>
  </si>
  <si>
    <t xml:space="preserve">最长不下降子序列问题</t>
  </si>
  <si>
    <t xml:space="preserve">狼抓兔子</t>
  </si>
  <si>
    <t xml:space="preserve">善意的投票 / [JLOI2010] 冠军调查</t>
  </si>
  <si>
    <t xml:space="preserve">切糕</t>
  </si>
  <si>
    <t xml:space="preserve">Max Vector</t>
  </si>
  <si>
    <t xml:space="preserve">最大获利</t>
  </si>
  <si>
    <t xml:space="preserve">寿司餐厅</t>
  </si>
  <si>
    <t xml:space="preserve">剪刀石头布</t>
  </si>
  <si>
    <t xml:space="preserve">餐巾计划问题</t>
  </si>
  <si>
    <t xml:space="preserve">文理分科</t>
  </si>
  <si>
    <t xml:space="preserve">全源最短路（Johnson）|| zxf指定题目</t>
  </si>
  <si>
    <t xml:space="preserve"> 阶段3随机化算法（非确定性算法）</t>
  </si>
  <si>
    <t xml:space="preserve">魔术表演</t>
  </si>
  <si>
    <t xml:space="preserve">可重集</t>
  </si>
  <si>
    <t xml:space="preserve">后缀排序（哈希做法）</t>
  </si>
  <si>
    <t xml:space="preserve">最长同类子串</t>
  </si>
  <si>
    <t xml:space="preserve">Odd Mineral Resource</t>
  </si>
  <si>
    <t xml:space="preserve">Permutation</t>
  </si>
  <si>
    <t xml:space="preserve">毒瘤题加强版再加强版</t>
  </si>
  <si>
    <t xml:space="preserve">Cartesian Trees</t>
  </si>
  <si>
    <t xml:space="preserve">Two Arrays</t>
  </si>
  <si>
    <t xml:space="preserve">XOR Sum of Arrays</t>
  </si>
  <si>
    <t xml:space="preserve">Kazaee</t>
  </si>
  <si>
    <t xml:space="preserve"> 阶段5博弈论1、2</t>
  </si>
  <si>
    <t xml:space="preserve">Avoid Coprime Game</t>
  </si>
  <si>
    <t xml:space="preserve">Eden 的博弈树</t>
  </si>
  <si>
    <t xml:space="preserve">小 B 的面包</t>
  </si>
  <si>
    <t xml:space="preserve">Berzerk</t>
  </si>
  <si>
    <t xml:space="preserve">时光的流逝</t>
  </si>
  <si>
    <t xml:space="preserve">过河卒</t>
  </si>
  <si>
    <t xml:space="preserve">填数游戏</t>
  </si>
  <si>
    <t xml:space="preserve">E&amp;D</t>
  </si>
  <si>
    <t xml:space="preserve">高手过招</t>
  </si>
  <si>
    <t xml:space="preserve">让</t>
  </si>
  <si>
    <t xml:space="preserve">Bacterial Tactics</t>
  </si>
  <si>
    <t xml:space="preserve">No Game No Life</t>
  </si>
  <si>
    <t xml:space="preserve">阶段34数论2、3（Lucas，CRT，杜教筛，莫比乌斯反演）</t>
  </si>
  <si>
    <t xml:space="preserve">屠龙勇士</t>
  </si>
  <si>
    <t xml:space="preserve">白兔之舞</t>
  </si>
  <si>
    <t xml:space="preserve">XOR and Number Theory</t>
  </si>
  <si>
    <t xml:space="preserve">古代猪文</t>
  </si>
  <si>
    <t xml:space="preserve">苍蓝月</t>
  </si>
  <si>
    <t xml:space="preserve">上帝与集合的正确用法</t>
  </si>
  <si>
    <t xml:space="preserve">炸脖龙 I</t>
  </si>
  <si>
    <t xml:space="preserve">相逢是问候</t>
  </si>
  <si>
    <t xml:space="preserve">Product Modulo</t>
  </si>
  <si>
    <t xml:space="preserve">多少个 1？</t>
  </si>
  <si>
    <t xml:space="preserve">游戏的得分</t>
  </si>
  <si>
    <t xml:space="preserve">变换，反演</t>
  </si>
  <si>
    <t xml:space="preserve">红包</t>
  </si>
  <si>
    <t xml:space="preserve">大豆</t>
  </si>
  <si>
    <t xml:space="preserve">Crash的数字表格 / JZPTAB</t>
  </si>
  <si>
    <t xml:space="preserve">简单的数学题</t>
  </si>
  <si>
    <t xml:space="preserve">于神之怒加强版</t>
  </si>
  <si>
    <t xml:space="preserve">约数个数和</t>
  </si>
  <si>
    <t xml:space="preserve">一个人的数论</t>
  </si>
  <si>
    <t xml:space="preserve">Product</t>
  </si>
  <si>
    <t xml:space="preserve">毒瘤之神的考验</t>
  </si>
  <si>
    <t xml:space="preserve">循环之美</t>
  </si>
  <si>
    <t xml:space="preserve">幽灵乐团 / 莫比乌斯反演基础练习题</t>
  </si>
  <si>
    <t xml:space="preserve">吉夫特</t>
  </si>
  <si>
    <t xml:space="preserve">阶段3动态规划4杂题</t>
  </si>
  <si>
    <t xml:space="preserve">通过情况</t>
  </si>
  <si>
    <t xml:space="preserve">让我们赢得选举 / Let's Win the Election</t>
  </si>
  <si>
    <t xml:space="preserve">Similar Permutation</t>
  </si>
  <si>
    <t xml:space="preserve">沉玉谷 / jade</t>
  </si>
  <si>
    <t xml:space="preserve">Contests</t>
  </si>
  <si>
    <t xml:space="preserve">At Most 2 Colors</t>
  </si>
  <si>
    <t xml:space="preserve">Zero-Sum Ranges 2</t>
  </si>
  <si>
    <t xml:space="preserve">复制粘贴 3 / Copy and Paste 3</t>
  </si>
  <si>
    <t xml:space="preserve">滑雪 2 / Ski 2</t>
  </si>
  <si>
    <t xml:space="preserve">Lanterns</t>
  </si>
  <si>
    <t xml:space="preserve">Three Permutations</t>
  </si>
  <si>
    <t xml:space="preserve">阶段4动态规划5（wqs二分，斜率优化，动态 dp）</t>
  </si>
  <si>
    <t xml:space="preserve">Tree I</t>
  </si>
  <si>
    <t xml:space="preserve">Raper</t>
  </si>
  <si>
    <t xml:space="preserve">玩具装箱</t>
  </si>
  <si>
    <t xml:space="preserve">Land Acquisition G</t>
  </si>
  <si>
    <t xml:space="preserve">Sequence (Day1)</t>
  </si>
  <si>
    <t xml:space="preserve">Lightning Conductor</t>
  </si>
  <si>
    <t xml:space="preserve">诗人小G</t>
  </si>
  <si>
    <t xml:space="preserve">Building Bridges</t>
  </si>
  <si>
    <t xml:space="preserve">Safety</t>
  </si>
  <si>
    <t xml:space="preserve">邮局 加强版</t>
  </si>
  <si>
    <t xml:space="preserve">种树</t>
  </si>
  <si>
    <t xml:space="preserve">阶段5集合1、2</t>
  </si>
  <si>
    <t xml:space="preserve">州区划分</t>
  </si>
  <si>
    <t xml:space="preserve">人形演舞</t>
  </si>
  <si>
    <t xml:space="preserve">Nim Counting</t>
  </si>
  <si>
    <t xml:space="preserve">Or Plus Max</t>
  </si>
  <si>
    <t xml:space="preserve">3^N Minesweeper</t>
  </si>
  <si>
    <t xml:space="preserve">Sum the Fibonacci</t>
  </si>
  <si>
    <t xml:space="preserve">阶段</t>
  </si>
  <si>
    <t xml:space="preserve">知识点</t>
  </si>
  <si>
    <t xml:space="preserve">例题</t>
  </si>
  <si>
    <t xml:space="preserve">通过时间</t>
  </si>
  <si>
    <t xml:space="preserve">尝试次数</t>
  </si>
  <si>
    <t xml:space="preserve">备注</t>
  </si>
  <si>
    <t xml:space="preserve">二进制分组优化背包</t>
  </si>
  <si>
    <t xml:space="preserve">P1776</t>
  </si>
  <si>
    <t xml:space="preserve">12min</t>
  </si>
  <si>
    <r>
      <rPr>
        <sz val="11"/>
        <color theme="1"/>
        <rFont val="Noto Sans CJK SC"/>
        <family val="2"/>
        <charset val="1"/>
      </rPr>
      <t xml:space="preserve">单调队列优化</t>
    </r>
    <r>
      <rPr>
        <sz val="11"/>
        <color theme="1"/>
        <rFont val="Calibri"/>
        <family val="2"/>
        <charset val="1"/>
      </rPr>
      <t xml:space="preserve">dp</t>
    </r>
  </si>
  <si>
    <t xml:space="preserve">P2627</t>
  </si>
  <si>
    <t xml:space="preserve">16min</t>
  </si>
  <si>
    <r>
      <rPr>
        <sz val="11"/>
        <color theme="1"/>
        <rFont val="Noto Sans CJK SC"/>
        <family val="2"/>
        <charset val="1"/>
      </rPr>
      <t xml:space="preserve">数据结构优化</t>
    </r>
    <r>
      <rPr>
        <sz val="11"/>
        <color theme="1"/>
        <rFont val="Calibri"/>
        <family val="2"/>
        <charset val="1"/>
      </rPr>
      <t xml:space="preserve">dp</t>
    </r>
  </si>
  <si>
    <t xml:space="preserve">P1725</t>
  </si>
  <si>
    <t xml:space="preserve">10min</t>
  </si>
  <si>
    <t xml:space="preserve">P3975</t>
  </si>
  <si>
    <t xml:space="preserve">22min</t>
  </si>
  <si>
    <t xml:space="preserve">P4309</t>
  </si>
  <si>
    <t xml:space="preserve">18min</t>
  </si>
  <si>
    <r>
      <rPr>
        <sz val="11"/>
        <color theme="1"/>
        <rFont val="Calibri"/>
        <family val="2"/>
        <charset val="1"/>
      </rPr>
      <t xml:space="preserve">P13968</t>
    </r>
    <r>
      <rPr>
        <sz val="11"/>
        <color theme="1"/>
        <rFont val="Noto Sans CJK SC"/>
        <family val="2"/>
        <charset val="1"/>
      </rPr>
      <t xml:space="preserve">，使用</t>
    </r>
    <r>
      <rPr>
        <sz val="11"/>
        <color theme="1"/>
        <rFont val="Calibri"/>
        <family val="2"/>
        <charset val="1"/>
      </rPr>
      <t xml:space="preserve">rope</t>
    </r>
    <r>
      <rPr>
        <sz val="11"/>
        <color theme="1"/>
        <rFont val="Noto Sans CJK SC"/>
        <family val="2"/>
        <charset val="1"/>
      </rPr>
      <t xml:space="preserve">代替</t>
    </r>
    <r>
      <rPr>
        <sz val="11"/>
        <color theme="1"/>
        <rFont val="Calibri"/>
        <family val="2"/>
        <charset val="1"/>
      </rPr>
      <t xml:space="preserve">vector</t>
    </r>
    <r>
      <rPr>
        <sz val="11"/>
        <color theme="1"/>
        <rFont val="Noto Sans CJK SC"/>
        <family val="2"/>
        <charset val="1"/>
      </rPr>
      <t xml:space="preserve">插入更快</t>
    </r>
  </si>
  <si>
    <t xml:space="preserve">P3431</t>
  </si>
  <si>
    <t xml:space="preserve">20min</t>
  </si>
  <si>
    <r>
      <rPr>
        <sz val="11"/>
        <color theme="1"/>
        <rFont val="Noto Sans CJK SC"/>
        <family val="2"/>
        <charset val="1"/>
      </rPr>
      <t xml:space="preserve">概率期望</t>
    </r>
    <r>
      <rPr>
        <sz val="11"/>
        <color theme="1"/>
        <rFont val="Calibri"/>
        <family val="2"/>
        <charset val="1"/>
      </rPr>
      <t xml:space="preserve">dp</t>
    </r>
  </si>
  <si>
    <t xml:space="preserve">P2473</t>
  </si>
  <si>
    <t xml:space="preserve">25min</t>
  </si>
  <si>
    <r>
      <rPr>
        <sz val="11"/>
        <color theme="1"/>
        <rFont val="Noto Sans CJK SC"/>
        <family val="2"/>
        <charset val="1"/>
      </rPr>
      <t xml:space="preserve">数位</t>
    </r>
    <r>
      <rPr>
        <sz val="11"/>
        <color theme="1"/>
        <rFont val="Calibri"/>
        <family val="2"/>
        <charset val="1"/>
      </rPr>
      <t xml:space="preserve">dp</t>
    </r>
  </si>
  <si>
    <t xml:space="preserve">P2602</t>
  </si>
  <si>
    <t xml:space="preserve">P1836</t>
  </si>
  <si>
    <t xml:space="preserve">8min</t>
  </si>
  <si>
    <t xml:space="preserve">P4317</t>
  </si>
  <si>
    <t xml:space="preserve">平衡树</t>
  </si>
  <si>
    <t xml:space="preserve">P1486</t>
  </si>
  <si>
    <t xml:space="preserve">pbds</t>
  </si>
  <si>
    <t xml:space="preserve">数论</t>
  </si>
  <si>
    <t xml:space="preserve">P14636</t>
  </si>
  <si>
    <t xml:space="preserve">1h</t>
  </si>
  <si>
    <t xml:space="preserve">NOIP2026T2 sale补题</t>
  </si>
  <si>
    <t xml:space="preserve">概率期望</t>
  </si>
  <si>
    <t xml:space="preserve">P1297</t>
  </si>
  <si>
    <t xml:space="preserve">15min</t>
  </si>
  <si>
    <t xml:space="preserve">P5104</t>
  </si>
  <si>
    <t xml:space="preserve">5min</t>
  </si>
  <si>
    <t xml:space="preserve">P3802</t>
  </si>
  <si>
    <t xml:space="preserve">26min</t>
  </si>
  <si>
    <t xml:space="preserve">线段树</t>
  </si>
  <si>
    <t xml:space="preserve">P6492</t>
  </si>
  <si>
    <t xml:space="preserve">可并堆</t>
  </si>
  <si>
    <t xml:space="preserve">P1552</t>
  </si>
  <si>
    <t xml:space="preserve">线段树合并</t>
  </si>
  <si>
    <t xml:space="preserve">P4556</t>
  </si>
  <si>
    <t xml:space="preserve">博弈论</t>
  </si>
  <si>
    <t xml:space="preserve">P17496</t>
  </si>
  <si>
    <t xml:space="preserve">P17602</t>
  </si>
  <si>
    <t xml:space="preserve">矩阵快速幂</t>
  </si>
  <si>
    <t xml:space="preserve">P1349</t>
  </si>
  <si>
    <t xml:space="preserve">14min</t>
  </si>
  <si>
    <t xml:space="preserve">构造</t>
  </si>
  <si>
    <t xml:space="preserve">P17621</t>
  </si>
  <si>
    <t xml:space="preserve">P17623</t>
  </si>
  <si>
    <t xml:space="preserve">30min</t>
  </si>
  <si>
    <t xml:space="preserve">矩阵快速幂，欧拉降幂</t>
  </si>
  <si>
    <t xml:space="preserve">P15190</t>
  </si>
  <si>
    <t xml:space="preserve">贪心</t>
  </si>
  <si>
    <t xml:space="preserve">P17539</t>
  </si>
  <si>
    <t xml:space="preserve">反悔贪心</t>
  </si>
  <si>
    <t xml:space="preserve">P2209</t>
  </si>
  <si>
    <t xml:space="preserve">35min</t>
  </si>
  <si>
    <t xml:space="preserve">LCA,线段树合并，动态开点</t>
  </si>
  <si>
    <t xml:space="preserve">P1600</t>
  </si>
  <si>
    <t xml:space="preserve">1h20min</t>
  </si>
  <si>
    <t xml:space="preserve">P4926</t>
  </si>
  <si>
    <t xml:space="preserve">40min</t>
  </si>
  <si>
    <t xml:space="preserve">P1939</t>
  </si>
</sst>
</file>

<file path=xl/styles.xml><?xml version="1.0" encoding="utf-8"?>
<styleSheet xmlns="http://schemas.openxmlformats.org/spreadsheetml/2006/main">
  <numFmts count="1">
    <numFmt numFmtId="164" formatCode="General"/>
  </numFmts>
  <fonts count="27">
    <font>
      <sz val="11"/>
      <color theme="1"/>
      <name val="Noto Sans CJK SC"/>
      <family val="2"/>
      <charset val="1"/>
    </font>
    <font>
      <sz val="10"/>
      <name val="Arial"/>
      <family val="0"/>
    </font>
    <font>
      <sz val="10"/>
      <name val="Arial"/>
      <family val="0"/>
    </font>
    <font>
      <sz val="10"/>
      <name val="Arial"/>
      <family val="0"/>
    </font>
    <font>
      <b val="true"/>
      <sz val="12"/>
      <color rgb="FF373A3C"/>
      <name val="宋体"/>
      <family val="0"/>
      <charset val="1"/>
    </font>
    <font>
      <b val="true"/>
      <sz val="12"/>
      <color rgb="FF000000"/>
      <name val="宋体"/>
      <family val="0"/>
      <charset val="1"/>
    </font>
    <font>
      <b val="true"/>
      <sz val="12"/>
      <color rgb="FFEEEEEE"/>
      <name val="Consolas"/>
      <family val="0"/>
      <charset val="1"/>
    </font>
    <font>
      <sz val="12"/>
      <color rgb="FF373A3C"/>
      <name val="Consolas"/>
      <family val="0"/>
      <charset val="1"/>
    </font>
    <font>
      <u val="single"/>
      <sz val="12"/>
      <color rgb="FF0563C1"/>
      <name val="等线"/>
      <family val="0"/>
      <charset val="1"/>
    </font>
    <font>
      <sz val="12"/>
      <color rgb="FF000000"/>
      <name val="Consolas"/>
      <family val="0"/>
      <charset val="1"/>
    </font>
    <font>
      <sz val="12"/>
      <color rgb="FF000000"/>
      <name val="等线"/>
      <family val="0"/>
      <charset val="1"/>
    </font>
    <font>
      <u val="single"/>
      <sz val="12"/>
      <color rgb="FF0563C1"/>
      <name val="Consolas"/>
      <family val="0"/>
      <charset val="1"/>
    </font>
    <font>
      <sz val="11"/>
      <color rgb="FF000000"/>
      <name val="等线"/>
      <family val="0"/>
      <charset val="1"/>
    </font>
    <font>
      <b val="true"/>
      <sz val="12"/>
      <color rgb="FF0563C1"/>
      <name val="宋体"/>
      <family val="0"/>
      <charset val="1"/>
    </font>
    <font>
      <sz val="12"/>
      <color rgb="FF373A3C"/>
      <name val="宋体"/>
      <family val="0"/>
      <charset val="1"/>
    </font>
    <font>
      <sz val="12"/>
      <color rgb="FF0563C1"/>
      <name val="宋体"/>
      <family val="0"/>
      <charset val="1"/>
    </font>
    <font>
      <sz val="12"/>
      <color rgb="FF000000"/>
      <name val="宋体"/>
      <family val="0"/>
      <charset val="1"/>
    </font>
    <font>
      <sz val="11"/>
      <color rgb="FF000000"/>
      <name val="宋体"/>
      <family val="0"/>
      <charset val="1"/>
    </font>
    <font>
      <sz val="14"/>
      <color rgb="FF000000"/>
      <name val="宋体"/>
      <family val="0"/>
      <charset val="1"/>
    </font>
    <font>
      <b val="true"/>
      <u val="single"/>
      <sz val="12"/>
      <color rgb="FF0563C1"/>
      <name val="宋体"/>
      <family val="0"/>
      <charset val="1"/>
    </font>
    <font>
      <u val="single"/>
      <sz val="12"/>
      <color rgb="FF0563C1"/>
      <name val="宋体"/>
      <family val="0"/>
      <charset val="1"/>
    </font>
    <font>
      <sz val="14"/>
      <color rgb="FF006100"/>
      <name val="宋体"/>
      <family val="0"/>
      <charset val="1"/>
    </font>
    <font>
      <sz val="12"/>
      <color rgb="FF212529"/>
      <name val="宋体"/>
      <family val="0"/>
      <charset val="1"/>
    </font>
    <font>
      <u val="single"/>
      <sz val="12"/>
      <color rgb="FF000000"/>
      <name val="宋体"/>
      <family val="0"/>
      <charset val="1"/>
    </font>
    <font>
      <u val="single"/>
      <sz val="11"/>
      <color rgb="FF000000"/>
      <name val="宋体"/>
      <family val="0"/>
      <charset val="1"/>
    </font>
    <font>
      <sz val="11"/>
      <color theme="1"/>
      <name val="Calibri"/>
      <family val="2"/>
      <charset val="1"/>
    </font>
    <font>
      <b val="true"/>
      <sz val="11"/>
      <color theme="1"/>
      <name val="Noto Sans CJK SC"/>
      <family val="2"/>
      <charset val="1"/>
    </font>
  </fonts>
  <fills count="10">
    <fill>
      <patternFill patternType="none"/>
    </fill>
    <fill>
      <patternFill patternType="gray125"/>
    </fill>
    <fill>
      <patternFill patternType="solid">
        <fgColor rgb="FFEBEBEB"/>
        <bgColor rgb="FFEEEEEE"/>
      </patternFill>
    </fill>
    <fill>
      <patternFill patternType="solid">
        <fgColor rgb="FF000000"/>
        <bgColor rgb="FF212529"/>
      </patternFill>
    </fill>
    <fill>
      <patternFill patternType="solid">
        <fgColor rgb="FF1BF529"/>
        <bgColor rgb="FF33CCCC"/>
      </patternFill>
    </fill>
    <fill>
      <patternFill patternType="solid">
        <fgColor rgb="FFB4C7DC"/>
        <bgColor rgb="FFCCCCCC"/>
      </patternFill>
    </fill>
    <fill>
      <patternFill patternType="solid">
        <fgColor rgb="FFFFFF6D"/>
        <bgColor rgb="FFFFFF00"/>
      </patternFill>
    </fill>
    <fill>
      <patternFill patternType="solid">
        <fgColor rgb="FFCCCCCC"/>
        <bgColor rgb="FFB4C7DC"/>
      </patternFill>
    </fill>
    <fill>
      <patternFill patternType="solid">
        <fgColor rgb="FFC6EFCE"/>
        <bgColor rgb="FFCCFFFF"/>
      </patternFill>
    </fill>
    <fill>
      <patternFill patternType="solid">
        <fgColor rgb="FFAFD095"/>
        <bgColor rgb="FFCCCC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dotted">
        <color rgb="FF373A3C"/>
      </left>
      <right style="dotted">
        <color rgb="FF373A3C"/>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5" fillId="2"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6" fillId="3" borderId="1" xfId="0" applyFont="true" applyBorder="true" applyAlignment="true" applyProtection="true">
      <alignment horizontal="center" vertical="center" textRotation="0" wrapText="true" indent="0" shrinkToFit="false"/>
      <protection locked="true" hidden="false"/>
    </xf>
    <xf numFmtId="164" fontId="7" fillId="2" borderId="1" xfId="0" applyFont="true" applyBorder="true" applyAlignment="true" applyProtection="true">
      <alignment horizontal="center" vertical="center" textRotation="0" wrapText="true" indent="0" shrinkToFit="false"/>
      <protection locked="true" hidden="false"/>
    </xf>
    <xf numFmtId="164" fontId="8" fillId="2" borderId="1" xfId="0" applyFont="true" applyBorder="true" applyAlignment="true" applyProtection="true">
      <alignment horizontal="center" vertical="center" textRotation="0" wrapText="true" indent="0" shrinkToFit="false"/>
      <protection locked="true" hidden="false"/>
    </xf>
    <xf numFmtId="164" fontId="9" fillId="4" borderId="1" xfId="0" applyFont="true" applyBorder="true" applyAlignment="true" applyProtection="true">
      <alignment horizontal="general" vertical="center" textRotation="0" wrapText="false" indent="0" shrinkToFit="false"/>
      <protection locked="true" hidden="false"/>
    </xf>
    <xf numFmtId="164" fontId="10" fillId="0" borderId="1" xfId="0" applyFont="true" applyBorder="true" applyAlignment="true" applyProtection="true">
      <alignment horizontal="general" vertical="center" textRotation="0" wrapText="false" indent="0" shrinkToFit="false"/>
      <protection locked="true" hidden="false"/>
    </xf>
    <xf numFmtId="164" fontId="11" fillId="2"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general" vertical="center" textRotation="0" wrapText="false" indent="0" shrinkToFit="false"/>
      <protection locked="true" hidden="false"/>
    </xf>
    <xf numFmtId="164" fontId="7" fillId="5" borderId="1" xfId="0" applyFont="true" applyBorder="true" applyAlignment="true" applyProtection="true">
      <alignment horizontal="center" vertical="center" textRotation="0" wrapText="true" indent="0" shrinkToFit="false"/>
      <protection locked="true" hidden="false"/>
    </xf>
    <xf numFmtId="164" fontId="10" fillId="6" borderId="1" xfId="0" applyFont="true" applyBorder="true" applyAlignment="true" applyProtection="true">
      <alignment horizontal="general" vertical="center" textRotation="0" wrapText="false" indent="0" shrinkToFit="false"/>
      <protection locked="true" hidden="false"/>
    </xf>
    <xf numFmtId="164" fontId="6" fillId="3" borderId="1" xfId="0" applyFont="true" applyBorder="true" applyAlignment="true" applyProtection="true">
      <alignment horizontal="center" vertical="center" textRotation="0" wrapText="false" indent="0" shrinkToFit="false"/>
      <protection locked="true" hidden="false"/>
    </xf>
    <xf numFmtId="164" fontId="7" fillId="0" borderId="1" xfId="0" applyFont="true" applyBorder="true" applyAlignment="true" applyProtection="true">
      <alignment horizontal="center" vertical="center" textRotation="0" wrapText="false" indent="0" shrinkToFit="false"/>
      <protection locked="true" hidden="false"/>
    </xf>
    <xf numFmtId="164" fontId="8" fillId="0" borderId="1" xfId="0" applyFont="true" applyBorder="true" applyAlignment="true" applyProtection="true">
      <alignment horizontal="center" vertical="center" textRotation="0" wrapText="false" indent="0" shrinkToFit="false"/>
      <protection locked="true" hidden="false"/>
    </xf>
    <xf numFmtId="164" fontId="11" fillId="0" borderId="1"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3" fillId="0"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14" fillId="0" borderId="1" xfId="0" applyFont="true" applyBorder="true" applyAlignment="true" applyProtection="true">
      <alignment horizontal="center" vertical="center" textRotation="0" wrapText="false" indent="0" shrinkToFit="false"/>
      <protection locked="true" hidden="false"/>
    </xf>
    <xf numFmtId="164" fontId="15" fillId="0" borderId="1" xfId="0" applyFont="true" applyBorder="true" applyAlignment="true" applyProtection="true">
      <alignment horizontal="center" vertical="center" textRotation="0" wrapText="false" indent="0" shrinkToFit="false"/>
      <protection locked="true" hidden="false"/>
    </xf>
    <xf numFmtId="164" fontId="16" fillId="0" borderId="1" xfId="0" applyFont="true" applyBorder="tru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14" fillId="0" borderId="1" xfId="0" applyFont="true" applyBorder="true" applyAlignment="true" applyProtection="true">
      <alignment horizontal="center" vertical="center" textRotation="0" wrapText="true" indent="0" shrinkToFit="false"/>
      <protection locked="true" hidden="false"/>
    </xf>
    <xf numFmtId="164" fontId="15" fillId="0" borderId="1" xfId="0" applyFont="true" applyBorder="true" applyAlignment="true" applyProtection="true">
      <alignment horizontal="center" vertical="center" textRotation="0" wrapText="true" indent="0" shrinkToFit="false"/>
      <protection locked="true" hidden="false"/>
    </xf>
    <xf numFmtId="164" fontId="16" fillId="0" borderId="1" xfId="0" applyFont="true" applyBorder="true" applyAlignment="true" applyProtection="true">
      <alignment horizontal="center" vertical="center" textRotation="0" wrapText="tru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7" borderId="0" xfId="0" applyFont="true" applyBorder="true" applyAlignment="true" applyProtection="true">
      <alignment horizontal="center" vertical="center" textRotation="0" wrapText="false" indent="0" shrinkToFit="false"/>
      <protection locked="true" hidden="false"/>
    </xf>
    <xf numFmtId="164" fontId="14" fillId="2" borderId="1" xfId="0" applyFont="true" applyBorder="true" applyAlignment="true" applyProtection="true">
      <alignment horizontal="center" vertical="center" textRotation="0" wrapText="true" indent="0" shrinkToFit="false"/>
      <protection locked="true" hidden="false"/>
    </xf>
    <xf numFmtId="164" fontId="16" fillId="2" borderId="1" xfId="0" applyFont="true" applyBorder="true" applyAlignment="true" applyProtection="true">
      <alignment horizontal="center" vertical="center" textRotation="0" wrapText="false" indent="0" shrinkToFit="false"/>
      <protection locked="true" hidden="false"/>
    </xf>
    <xf numFmtId="164" fontId="19" fillId="0" borderId="1" xfId="0" applyFont="true" applyBorder="true" applyAlignment="true" applyProtection="true">
      <alignment horizontal="center" vertical="center" textRotation="0" wrapText="false" indent="0" shrinkToFit="false"/>
      <protection locked="true" hidden="false"/>
    </xf>
    <xf numFmtId="164" fontId="20" fillId="2" borderId="1" xfId="0" applyFont="true" applyBorder="true" applyAlignment="true" applyProtection="true">
      <alignment horizontal="center" vertical="center" textRotation="0" wrapText="true" indent="0" shrinkToFit="false"/>
      <protection locked="true" hidden="false"/>
    </xf>
    <xf numFmtId="164" fontId="16" fillId="0" borderId="1" xfId="0" applyFont="true" applyBorder="true" applyAlignment="true" applyProtection="true">
      <alignment horizontal="general"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21" fillId="8" borderId="1" xfId="0" applyFont="true" applyBorder="true" applyAlignment="true" applyProtection="true">
      <alignment horizontal="center" vertical="center" textRotation="0" wrapText="true" indent="0" shrinkToFit="false"/>
      <protection locked="true" hidden="false"/>
    </xf>
    <xf numFmtId="164" fontId="22" fillId="0" borderId="1" xfId="0" applyFont="true" applyBorder="true" applyAlignment="true" applyProtection="true">
      <alignment horizontal="center" vertical="center" textRotation="0" wrapText="true" indent="0" shrinkToFit="false"/>
      <protection locked="true" hidden="false"/>
    </xf>
    <xf numFmtId="164" fontId="23" fillId="0" borderId="1" xfId="0" applyFont="true" applyBorder="true" applyAlignment="true" applyProtection="true">
      <alignment horizontal="center" vertical="center" textRotation="0" wrapText="false" indent="0" shrinkToFit="false"/>
      <protection locked="true" hidden="false"/>
    </xf>
    <xf numFmtId="164" fontId="24" fillId="0" borderId="2"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0" fillId="9" borderId="0" xfId="0" applyFont="true" applyBorder="false" applyAlignment="true" applyProtection="true">
      <alignment horizontal="center" vertical="center" textRotation="0" wrapText="false" indent="0" shrinkToFit="false"/>
      <protection locked="true" hidden="false"/>
    </xf>
    <xf numFmtId="164" fontId="25" fillId="0" borderId="0" xfId="0" applyFont="true" applyBorder="false" applyAlignment="true" applyProtection="true">
      <alignment horizontal="center" vertical="center" textRotation="0" wrapText="false" indent="0" shrinkToFit="false"/>
      <protection locked="true" hidden="false"/>
    </xf>
    <xf numFmtId="164" fontId="26" fillId="0" borderId="0" xfId="0" applyFont="true" applyBorder="false" applyAlignment="true" applyProtection="true">
      <alignment horizontal="general" vertical="bottom" textRotation="0" wrapText="true" indent="0" shrinkToFit="false"/>
      <protection locked="true" hidden="false"/>
    </xf>
    <xf numFmtId="164" fontId="25"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1BF529"/>
      <rgbColor rgb="FF0000FF"/>
      <rgbColor rgb="FFFFFF00"/>
      <rgbColor rgb="FFFF00FF"/>
      <rgbColor rgb="FF00FFFF"/>
      <rgbColor rgb="FF800000"/>
      <rgbColor rgb="FF006100"/>
      <rgbColor rgb="FF000080"/>
      <rgbColor rgb="FF808000"/>
      <rgbColor rgb="FF800080"/>
      <rgbColor rgb="FF008080"/>
      <rgbColor rgb="FFCCCCCC"/>
      <rgbColor rgb="FF808080"/>
      <rgbColor rgb="FF9999FF"/>
      <rgbColor rgb="FF993366"/>
      <rgbColor rgb="FFEBEBEB"/>
      <rgbColor rgb="FFCCFFFF"/>
      <rgbColor rgb="FF660066"/>
      <rgbColor rgb="FFFF8080"/>
      <rgbColor rgb="FF0563C1"/>
      <rgbColor rgb="FFB4C7DC"/>
      <rgbColor rgb="FF000080"/>
      <rgbColor rgb="FFFF00FF"/>
      <rgbColor rgb="FFFFFF00"/>
      <rgbColor rgb="FF00FFFF"/>
      <rgbColor rgb="FF800080"/>
      <rgbColor rgb="FF800000"/>
      <rgbColor rgb="FF008080"/>
      <rgbColor rgb="FF0000FF"/>
      <rgbColor rgb="FF00CCFF"/>
      <rgbColor rgb="FFCCFFFF"/>
      <rgbColor rgb="FFC6EFCE"/>
      <rgbColor rgb="FFFFFF6D"/>
      <rgbColor rgb="FFAFD095"/>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12529"/>
      <rgbColor rgb="FF993300"/>
      <rgbColor rgb="FF993366"/>
      <rgbColor rgb="FF333399"/>
      <rgbColor rgb="FF373A3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vjudge.net/contest/826689" TargetMode="External"/><Relationship Id="rId2" Type="http://schemas.openxmlformats.org/officeDocument/2006/relationships/hyperlink" Target="https://vjudge.net/contest/826689" TargetMode="External"/><Relationship Id="rId3" Type="http://schemas.openxmlformats.org/officeDocument/2006/relationships/hyperlink" Target="https://vjudge.net/contest/826689" TargetMode="External"/><Relationship Id="rId4" Type="http://schemas.openxmlformats.org/officeDocument/2006/relationships/hyperlink" Target="https://vjudge.net/contest/826689" TargetMode="External"/><Relationship Id="rId5" Type="http://schemas.openxmlformats.org/officeDocument/2006/relationships/hyperlink" Target="https://vjudge.net/contest/826689" TargetMode="External"/><Relationship Id="rId6" Type="http://schemas.openxmlformats.org/officeDocument/2006/relationships/hyperlink" Target="https://vjudge.net/contest/826689" TargetMode="External"/><Relationship Id="rId7" Type="http://schemas.openxmlformats.org/officeDocument/2006/relationships/hyperlink" Target="https://vjudge.net/contest/826689" TargetMode="External"/><Relationship Id="rId8" Type="http://schemas.openxmlformats.org/officeDocument/2006/relationships/hyperlink" Target="https://vjudge.net/contest/826689" TargetMode="External"/><Relationship Id="rId9" Type="http://schemas.openxmlformats.org/officeDocument/2006/relationships/hyperlink" Target="https://vjudge.net/contest/826689" TargetMode="External"/><Relationship Id="rId10" Type="http://schemas.openxmlformats.org/officeDocument/2006/relationships/hyperlink" Target="https://vjudge.net/contest/826689" TargetMode="External"/><Relationship Id="rId11" Type="http://schemas.openxmlformats.org/officeDocument/2006/relationships/hyperlink" Target="https://vjudge.net/contest/826689" TargetMode="External"/><Relationship Id="rId12" Type="http://schemas.openxmlformats.org/officeDocument/2006/relationships/hyperlink" Target="https://vjudge.net/contest/826689" TargetMode="External"/><Relationship Id="rId13" Type="http://schemas.openxmlformats.org/officeDocument/2006/relationships/hyperlink" Target="https://vjudge.net/contest/826689" TargetMode="External"/><Relationship Id="rId14" Type="http://schemas.openxmlformats.org/officeDocument/2006/relationships/hyperlink" Target="https://vjudge.net/contest/826689" TargetMode="External"/><Relationship Id="rId15" Type="http://schemas.openxmlformats.org/officeDocument/2006/relationships/hyperlink" Target="https://vjudge.net/contest/826689" TargetMode="External"/><Relationship Id="rId16" Type="http://schemas.openxmlformats.org/officeDocument/2006/relationships/hyperlink" Target="https://vjudge.net/contest/826689" TargetMode="External"/><Relationship Id="rId17" Type="http://schemas.openxmlformats.org/officeDocument/2006/relationships/hyperlink" Target="https://vjudge.net/contest/826689" TargetMode="External"/><Relationship Id="rId18" Type="http://schemas.openxmlformats.org/officeDocument/2006/relationships/hyperlink" Target="https://vjudge.net/contest/826689" TargetMode="External"/><Relationship Id="rId19" Type="http://schemas.openxmlformats.org/officeDocument/2006/relationships/hyperlink" Target="https://vjudge.net/contest/826689" TargetMode="External"/><Relationship Id="rId20" Type="http://schemas.openxmlformats.org/officeDocument/2006/relationships/hyperlink" Target="https://vjudge.net/contest/826689" TargetMode="External"/><Relationship Id="rId21" Type="http://schemas.openxmlformats.org/officeDocument/2006/relationships/hyperlink" Target="https://vjudge.net/contest/826689" TargetMode="External"/><Relationship Id="rId22" Type="http://schemas.openxmlformats.org/officeDocument/2006/relationships/hyperlink" Target="https://vjudge.net/contest/826689" TargetMode="External"/><Relationship Id="rId23" Type="http://schemas.openxmlformats.org/officeDocument/2006/relationships/hyperlink" Target="https://vjudge.net/contest/826689" TargetMode="External"/><Relationship Id="rId24" Type="http://schemas.openxmlformats.org/officeDocument/2006/relationships/hyperlink" Target="https://vjudge.net/contest/826689" TargetMode="External"/><Relationship Id="rId25" Type="http://schemas.openxmlformats.org/officeDocument/2006/relationships/hyperlink" Target="https://vjudge.net/contest/826689" TargetMode="External"/><Relationship Id="rId26" Type="http://schemas.openxmlformats.org/officeDocument/2006/relationships/hyperlink" Target="https://vjudge.net/contest/826689" TargetMode="External"/><Relationship Id="rId27" Type="http://schemas.openxmlformats.org/officeDocument/2006/relationships/hyperlink" Target="https://vjudge.net/contest/826689" TargetMode="External"/><Relationship Id="rId28" Type="http://schemas.openxmlformats.org/officeDocument/2006/relationships/hyperlink" Target="https://vjudge.net/contest/826689" TargetMode="External"/><Relationship Id="rId29" Type="http://schemas.openxmlformats.org/officeDocument/2006/relationships/hyperlink" Target="https://vjudge.net/contest/827058" TargetMode="External"/><Relationship Id="rId30" Type="http://schemas.openxmlformats.org/officeDocument/2006/relationships/hyperlink" Target="https://vjudge.net/contest/827058" TargetMode="External"/><Relationship Id="rId31" Type="http://schemas.openxmlformats.org/officeDocument/2006/relationships/hyperlink" Target="https://vjudge.net/contest/827058" TargetMode="External"/><Relationship Id="rId32" Type="http://schemas.openxmlformats.org/officeDocument/2006/relationships/hyperlink" Target="https://vjudge.net/contest/827058" TargetMode="External"/><Relationship Id="rId33" Type="http://schemas.openxmlformats.org/officeDocument/2006/relationships/hyperlink" Target="https://vjudge.net/contest/827058" TargetMode="External"/><Relationship Id="rId34" Type="http://schemas.openxmlformats.org/officeDocument/2006/relationships/hyperlink" Target="https://vjudge.net/contest/827058" TargetMode="External"/><Relationship Id="rId35" Type="http://schemas.openxmlformats.org/officeDocument/2006/relationships/hyperlink" Target="https://vjudge.net/contest/827058" TargetMode="External"/><Relationship Id="rId36" Type="http://schemas.openxmlformats.org/officeDocument/2006/relationships/hyperlink" Target="https://vjudge.net/contest/827058" TargetMode="External"/><Relationship Id="rId37" Type="http://schemas.openxmlformats.org/officeDocument/2006/relationships/hyperlink" Target="https://vjudge.net/contest/827058" TargetMode="External"/><Relationship Id="rId38" Type="http://schemas.openxmlformats.org/officeDocument/2006/relationships/hyperlink" Target="https://vjudge.net/contest/827058" TargetMode="External"/><Relationship Id="rId39" Type="http://schemas.openxmlformats.org/officeDocument/2006/relationships/hyperlink" Target="https://vjudge.net/contest/827058" TargetMode="External"/><Relationship Id="rId40" Type="http://schemas.openxmlformats.org/officeDocument/2006/relationships/hyperlink" Target="https://vjudge.net/contest/827209" TargetMode="External"/><Relationship Id="rId41" Type="http://schemas.openxmlformats.org/officeDocument/2006/relationships/hyperlink" Target="https://vjudge.net/contest/827209" TargetMode="External"/><Relationship Id="rId42" Type="http://schemas.openxmlformats.org/officeDocument/2006/relationships/hyperlink" Target="https://vjudge.net/contest/827209" TargetMode="External"/><Relationship Id="rId43" Type="http://schemas.openxmlformats.org/officeDocument/2006/relationships/hyperlink" Target="https://vjudge.net/contest/827209" TargetMode="External"/><Relationship Id="rId44" Type="http://schemas.openxmlformats.org/officeDocument/2006/relationships/hyperlink" Target="https://vjudge.net/contest/827209" TargetMode="External"/><Relationship Id="rId45" Type="http://schemas.openxmlformats.org/officeDocument/2006/relationships/hyperlink" Target="https://vjudge.net/contest/827209" TargetMode="External"/><Relationship Id="rId46" Type="http://schemas.openxmlformats.org/officeDocument/2006/relationships/hyperlink" Target="https://vjudge.net/contest/827209" TargetMode="External"/><Relationship Id="rId47" Type="http://schemas.openxmlformats.org/officeDocument/2006/relationships/hyperlink" Target="https://www.luogu.com.cn/article/3iw5frda" TargetMode="External"/><Relationship Id="rId48" Type="http://schemas.openxmlformats.org/officeDocument/2006/relationships/hyperlink" Target="https://vjudge.net/contest/827209" TargetMode="External"/><Relationship Id="rId49" Type="http://schemas.openxmlformats.org/officeDocument/2006/relationships/hyperlink" Target="https://vjudge.net/contest/827209" TargetMode="External"/><Relationship Id="rId50" Type="http://schemas.openxmlformats.org/officeDocument/2006/relationships/hyperlink" Target="https://vjudge.net/contest/827209" TargetMode="External"/><Relationship Id="rId51" Type="http://schemas.openxmlformats.org/officeDocument/2006/relationships/hyperlink" Target="https://vjudge.net/contest/827209" TargetMode="External"/><Relationship Id="rId52" Type="http://schemas.openxmlformats.org/officeDocument/2006/relationships/hyperlink" Target="https://vjudge.net/contest/827209" TargetMode="External"/><Relationship Id="rId53" Type="http://schemas.openxmlformats.org/officeDocument/2006/relationships/hyperlink" Target="https://vjudge.net/contest/827209" TargetMode="External"/><Relationship Id="rId54" Type="http://schemas.openxmlformats.org/officeDocument/2006/relationships/hyperlink" Target="https://vjudge.net/contest/827209" TargetMode="External"/><Relationship Id="rId55" Type="http://schemas.openxmlformats.org/officeDocument/2006/relationships/hyperlink" Target="https://vjudge.net/contest/827763" TargetMode="External"/><Relationship Id="rId56" Type="http://schemas.openxmlformats.org/officeDocument/2006/relationships/hyperlink" Target="https://vjudge.net/contest/827763" TargetMode="External"/><Relationship Id="rId57" Type="http://schemas.openxmlformats.org/officeDocument/2006/relationships/hyperlink" Target="https://vjudge.net/contest/827763" TargetMode="External"/><Relationship Id="rId58" Type="http://schemas.openxmlformats.org/officeDocument/2006/relationships/hyperlink" Target="https://vjudge.net/contest/827763" TargetMode="External"/><Relationship Id="rId59" Type="http://schemas.openxmlformats.org/officeDocument/2006/relationships/hyperlink" Target="https://vjudge.net/contest/827763" TargetMode="External"/><Relationship Id="rId60" Type="http://schemas.openxmlformats.org/officeDocument/2006/relationships/hyperlink" Target="https://vjudge.net/contest/827763" TargetMode="External"/><Relationship Id="rId61" Type="http://schemas.openxmlformats.org/officeDocument/2006/relationships/hyperlink" Target="https://vjudge.net/contest/827763" TargetMode="External"/><Relationship Id="rId62" Type="http://schemas.openxmlformats.org/officeDocument/2006/relationships/hyperlink" Target="https://vjudge.net/contest/827763" TargetMode="External"/><Relationship Id="rId63" Type="http://schemas.openxmlformats.org/officeDocument/2006/relationships/hyperlink" Target="https://vjudge.net/contest/827763" TargetMode="External"/><Relationship Id="rId64" Type="http://schemas.openxmlformats.org/officeDocument/2006/relationships/hyperlink" Target="https://vjudge.net/contest/827763" TargetMode="External"/><Relationship Id="rId65" Type="http://schemas.openxmlformats.org/officeDocument/2006/relationships/hyperlink" Target="https://vjudge.net/contest/827763" TargetMode="External"/><Relationship Id="rId66" Type="http://schemas.openxmlformats.org/officeDocument/2006/relationships/hyperlink" Target="https://vjudge.net/contest/827763" TargetMode="External"/><Relationship Id="rId67" Type="http://schemas.openxmlformats.org/officeDocument/2006/relationships/hyperlink" Target="https://vjudge.net/contest/827763" TargetMode="External"/><Relationship Id="rId68" Type="http://schemas.openxmlformats.org/officeDocument/2006/relationships/hyperlink" Target="https://vjudge.net/contest/827763" TargetMode="External"/><Relationship Id="rId69" Type="http://schemas.openxmlformats.org/officeDocument/2006/relationships/hyperlink" Target="https://vjudge.net/contest/827763" TargetMode="External"/><Relationship Id="rId70" Type="http://schemas.openxmlformats.org/officeDocument/2006/relationships/hyperlink" Target="https://vjudge.net/contest/827763" TargetMode="External"/><Relationship Id="rId71" Type="http://schemas.openxmlformats.org/officeDocument/2006/relationships/hyperlink" Target="https://vjudge.net/contest/827763" TargetMode="External"/><Relationship Id="rId72" Type="http://schemas.openxmlformats.org/officeDocument/2006/relationships/hyperlink" Target="https://vjudge.net/contest/827763" TargetMode="External"/><Relationship Id="rId73" Type="http://schemas.openxmlformats.org/officeDocument/2006/relationships/hyperlink" Target="https://vjudge.net/contest/827763" TargetMode="External"/><Relationship Id="rId74" Type="http://schemas.openxmlformats.org/officeDocument/2006/relationships/hyperlink" Target="https://vjudge.net/contest/827763" TargetMode="External"/><Relationship Id="rId75" Type="http://schemas.openxmlformats.org/officeDocument/2006/relationships/hyperlink" Target="https://vjudge.net/contest/828458" TargetMode="External"/><Relationship Id="rId76" Type="http://schemas.openxmlformats.org/officeDocument/2006/relationships/hyperlink" Target="https://vjudge.net/contest/828458" TargetMode="External"/><Relationship Id="rId77" Type="http://schemas.openxmlformats.org/officeDocument/2006/relationships/hyperlink" Target="https://vjudge.net/contest/828458" TargetMode="External"/><Relationship Id="rId78" Type="http://schemas.openxmlformats.org/officeDocument/2006/relationships/hyperlink" Target="https://vjudge.net/contest/828458" TargetMode="External"/><Relationship Id="rId79" Type="http://schemas.openxmlformats.org/officeDocument/2006/relationships/hyperlink" Target="https://vjudge.net/contest/828458" TargetMode="External"/><Relationship Id="rId80" Type="http://schemas.openxmlformats.org/officeDocument/2006/relationships/hyperlink" Target="https://vjudge.net/contest/828458" TargetMode="External"/><Relationship Id="rId81" Type="http://schemas.openxmlformats.org/officeDocument/2006/relationships/hyperlink" Target="https://vjudge.net/contest/828458" TargetMode="External"/><Relationship Id="rId82" Type="http://schemas.openxmlformats.org/officeDocument/2006/relationships/hyperlink" Target="https://vjudge.net/contest/828458" TargetMode="External"/><Relationship Id="rId83" Type="http://schemas.openxmlformats.org/officeDocument/2006/relationships/hyperlink" Target="https://vjudge.net/contest/828458" TargetMode="External"/><Relationship Id="rId84" Type="http://schemas.openxmlformats.org/officeDocument/2006/relationships/hyperlink" Target="https://vjudge.net/contest/828458" TargetMode="External"/><Relationship Id="rId85" Type="http://schemas.openxmlformats.org/officeDocument/2006/relationships/hyperlink" Target="https://vjudge.net/contest/828458" TargetMode="External"/><Relationship Id="rId86" Type="http://schemas.openxmlformats.org/officeDocument/2006/relationships/hyperlink" Target="https://vjudge.net/contest/828458"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vjudge.net/contest/829016" TargetMode="External"/><Relationship Id="rId2" Type="http://schemas.openxmlformats.org/officeDocument/2006/relationships/hyperlink" Target="https://www.luogu.com.cn/problem/P4781" TargetMode="External"/><Relationship Id="rId3" Type="http://schemas.openxmlformats.org/officeDocument/2006/relationships/hyperlink" Target="https://www.luogu.com.cn/problem/CF622F" TargetMode="External"/><Relationship Id="rId4" Type="http://schemas.openxmlformats.org/officeDocument/2006/relationships/hyperlink" Target="https://www.luogu.com.cn/problem/P4593" TargetMode="External"/><Relationship Id="rId5" Type="http://schemas.openxmlformats.org/officeDocument/2006/relationships/hyperlink" Target="https://vjudge.net/contest/829016" TargetMode="External"/><Relationship Id="rId6" Type="http://schemas.openxmlformats.org/officeDocument/2006/relationships/hyperlink" Target="https://vjudge.net/contest/829016" TargetMode="External"/><Relationship Id="rId7" Type="http://schemas.openxmlformats.org/officeDocument/2006/relationships/hyperlink" Target="https://vjudge.net/contest/829016" TargetMode="External"/><Relationship Id="rId8" Type="http://schemas.openxmlformats.org/officeDocument/2006/relationships/hyperlink" Target="https://vjudge.net/contest/829016" TargetMode="External"/><Relationship Id="rId9" Type="http://schemas.openxmlformats.org/officeDocument/2006/relationships/hyperlink" Target="https://vjudge.net/contest/829016" TargetMode="External"/><Relationship Id="rId10" Type="http://schemas.openxmlformats.org/officeDocument/2006/relationships/hyperlink" Target="https://vjudge.net/contest/829016" TargetMode="External"/><Relationship Id="rId11" Type="http://schemas.openxmlformats.org/officeDocument/2006/relationships/hyperlink" Target="https://vjudge.net/contest/829016" TargetMode="External"/><Relationship Id="rId12" Type="http://schemas.openxmlformats.org/officeDocument/2006/relationships/hyperlink" Target="https://vjudge.net/contest/829016" TargetMode="External"/><Relationship Id="rId13" Type="http://schemas.openxmlformats.org/officeDocument/2006/relationships/hyperlink" Target="https://vjudge.net/contest/829016" TargetMode="External"/><Relationship Id="rId14" Type="http://schemas.openxmlformats.org/officeDocument/2006/relationships/hyperlink" Target="https://vjudge.net/contest/829016" TargetMode="External"/><Relationship Id="rId15" Type="http://schemas.openxmlformats.org/officeDocument/2006/relationships/hyperlink" Target="https://vjudge.net/contest/829016" TargetMode="External"/><Relationship Id="rId16" Type="http://schemas.openxmlformats.org/officeDocument/2006/relationships/hyperlink" Target="https://vjudge.net/contest/829016" TargetMode="External"/><Relationship Id="rId17" Type="http://schemas.openxmlformats.org/officeDocument/2006/relationships/hyperlink" Target="https://www.luogu.com.cn/problem/P17433" TargetMode="External"/><Relationship Id="rId18" Type="http://schemas.openxmlformats.org/officeDocument/2006/relationships/hyperlink" Target="https://vjudge.net/contest/829016" TargetMode="External"/><Relationship Id="rId19" Type="http://schemas.openxmlformats.org/officeDocument/2006/relationships/hyperlink" Target="https://vjudge.net/contest/829016" TargetMode="External"/><Relationship Id="rId20" Type="http://schemas.openxmlformats.org/officeDocument/2006/relationships/hyperlink" Target="https://vjudge.net/contest/829016" TargetMode="External"/><Relationship Id="rId21" Type="http://schemas.openxmlformats.org/officeDocument/2006/relationships/hyperlink" Target="https://vjudge.net/contest/829017" TargetMode="External"/><Relationship Id="rId22" Type="http://schemas.openxmlformats.org/officeDocument/2006/relationships/hyperlink" Target="https://vjudge.net/contest/829017" TargetMode="External"/><Relationship Id="rId23" Type="http://schemas.openxmlformats.org/officeDocument/2006/relationships/hyperlink" Target="https://vjudge.net/contest/829017" TargetMode="External"/><Relationship Id="rId24" Type="http://schemas.openxmlformats.org/officeDocument/2006/relationships/hyperlink" Target="https://vjudge.net/contest/829017" TargetMode="External"/><Relationship Id="rId25" Type="http://schemas.openxmlformats.org/officeDocument/2006/relationships/hyperlink" Target="https://vjudge.net/contest/829017" TargetMode="External"/><Relationship Id="rId26" Type="http://schemas.openxmlformats.org/officeDocument/2006/relationships/hyperlink" Target="https://vjudge.net/contest/829017" TargetMode="External"/><Relationship Id="rId27" Type="http://schemas.openxmlformats.org/officeDocument/2006/relationships/hyperlink" Target="https://vjudge.net/contest/829017" TargetMode="External"/><Relationship Id="rId28" Type="http://schemas.openxmlformats.org/officeDocument/2006/relationships/hyperlink" Target="https://vjudge.net/contest/829017" TargetMode="External"/><Relationship Id="rId29" Type="http://schemas.openxmlformats.org/officeDocument/2006/relationships/hyperlink" Target="https://vjudge.net/contest/829017" TargetMode="External"/><Relationship Id="rId30" Type="http://schemas.openxmlformats.org/officeDocument/2006/relationships/hyperlink" Target="https://www.luogu.com.cn/problem/P3164" TargetMode="External"/><Relationship Id="rId31" Type="http://schemas.openxmlformats.org/officeDocument/2006/relationships/hyperlink" Target="https://vjudge.net/contest/829017" TargetMode="External"/><Relationship Id="rId32" Type="http://schemas.openxmlformats.org/officeDocument/2006/relationships/hyperlink" Target="https://vjudge.net/contest/829017" TargetMode="External"/><Relationship Id="rId33" Type="http://schemas.openxmlformats.org/officeDocument/2006/relationships/hyperlink" Target="https://vjudge.net/contest/829017" TargetMode="External"/><Relationship Id="rId34" Type="http://schemas.openxmlformats.org/officeDocument/2006/relationships/hyperlink" Target="https://vjudge.net/contest/829017" TargetMode="External"/><Relationship Id="rId35" Type="http://schemas.openxmlformats.org/officeDocument/2006/relationships/hyperlink" Target="https://vjudge.net/contest/829017" TargetMode="External"/><Relationship Id="rId36" Type="http://schemas.openxmlformats.org/officeDocument/2006/relationships/hyperlink" Target="https://vjudge.net/contest/829017" TargetMode="External"/><Relationship Id="rId37" Type="http://schemas.openxmlformats.org/officeDocument/2006/relationships/hyperlink" Target="https://vjudge.net/contest/829017" TargetMode="External"/><Relationship Id="rId38" Type="http://schemas.openxmlformats.org/officeDocument/2006/relationships/hyperlink" Target="https://vjudge.net/contest/829017" TargetMode="External"/><Relationship Id="rId39" Type="http://schemas.openxmlformats.org/officeDocument/2006/relationships/hyperlink" Target="https://vjudge.net/contest/829017" TargetMode="External"/><Relationship Id="rId40" Type="http://schemas.openxmlformats.org/officeDocument/2006/relationships/hyperlink" Target="https://vjudge.net/contest/829323" TargetMode="External"/><Relationship Id="rId41" Type="http://schemas.openxmlformats.org/officeDocument/2006/relationships/hyperlink" Target="https://vjudge.net/contest/829323" TargetMode="External"/><Relationship Id="rId42" Type="http://schemas.openxmlformats.org/officeDocument/2006/relationships/hyperlink" Target="https://vjudge.net/contest/829323" TargetMode="External"/><Relationship Id="rId43" Type="http://schemas.openxmlformats.org/officeDocument/2006/relationships/hyperlink" Target="https://vjudge.net/contest/829323" TargetMode="External"/><Relationship Id="rId44" Type="http://schemas.openxmlformats.org/officeDocument/2006/relationships/hyperlink" Target="https://vjudge.net/contest/829323" TargetMode="External"/><Relationship Id="rId45" Type="http://schemas.openxmlformats.org/officeDocument/2006/relationships/hyperlink" Target="https://vjudge.net/contest/829323" TargetMode="External"/><Relationship Id="rId46" Type="http://schemas.openxmlformats.org/officeDocument/2006/relationships/hyperlink" Target="https://vjudge.net/contest/829323" TargetMode="External"/><Relationship Id="rId47" Type="http://schemas.openxmlformats.org/officeDocument/2006/relationships/hyperlink" Target="https://vjudge.net/contest/829323" TargetMode="External"/><Relationship Id="rId48" Type="http://schemas.openxmlformats.org/officeDocument/2006/relationships/hyperlink" Target="https://vjudge.net/contest/829323" TargetMode="External"/><Relationship Id="rId49" Type="http://schemas.openxmlformats.org/officeDocument/2006/relationships/hyperlink" Target="https://vjudge.net/contest/829323" TargetMode="External"/><Relationship Id="rId50" Type="http://schemas.openxmlformats.org/officeDocument/2006/relationships/hyperlink" Target="https://vjudge.net/contest/829323" TargetMode="External"/><Relationship Id="rId51" Type="http://schemas.openxmlformats.org/officeDocument/2006/relationships/hyperlink" Target="https://vjudge.net/contest/829323" TargetMode="External"/><Relationship Id="rId52" Type="http://schemas.openxmlformats.org/officeDocument/2006/relationships/hyperlink" Target="https://vjudge.net/contest/829323" TargetMode="External"/><Relationship Id="rId53" Type="http://schemas.openxmlformats.org/officeDocument/2006/relationships/hyperlink" Target="https://vjudge.net/contest/829323" TargetMode="External"/><Relationship Id="rId54" Type="http://schemas.openxmlformats.org/officeDocument/2006/relationships/hyperlink" Target="https://vjudge.net/contest/829323" TargetMode="External"/><Relationship Id="rId55" Type="http://schemas.openxmlformats.org/officeDocument/2006/relationships/hyperlink" Target="https://vjudge.net/contest/829323" TargetMode="External"/><Relationship Id="rId56" Type="http://schemas.openxmlformats.org/officeDocument/2006/relationships/hyperlink" Target="https://vjudge.net/contest/829323" TargetMode="External"/><Relationship Id="rId57" Type="http://schemas.openxmlformats.org/officeDocument/2006/relationships/hyperlink" Target="https://vjudge.net/contest/829323" TargetMode="External"/><Relationship Id="rId58" Type="http://schemas.openxmlformats.org/officeDocument/2006/relationships/hyperlink" Target="https://vjudge.net/contest/829323"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vjudge.net/contest/829731" TargetMode="External"/><Relationship Id="rId2" Type="http://schemas.openxmlformats.org/officeDocument/2006/relationships/hyperlink" Target="https://vjudge.net/contest/829731" TargetMode="External"/><Relationship Id="rId3" Type="http://schemas.openxmlformats.org/officeDocument/2006/relationships/hyperlink" Target="https://vjudge.net/contest/829731" TargetMode="External"/><Relationship Id="rId4" Type="http://schemas.openxmlformats.org/officeDocument/2006/relationships/hyperlink" Target="https://vjudge.net/contest/829731" TargetMode="External"/><Relationship Id="rId5" Type="http://schemas.openxmlformats.org/officeDocument/2006/relationships/hyperlink" Target="https://vjudge.net/contest/829731" TargetMode="External"/><Relationship Id="rId6" Type="http://schemas.openxmlformats.org/officeDocument/2006/relationships/hyperlink" Target="https://vjudge.net/contest/829731" TargetMode="External"/><Relationship Id="rId7" Type="http://schemas.openxmlformats.org/officeDocument/2006/relationships/hyperlink" Target="https://vjudge.net/contest/829731" TargetMode="External"/><Relationship Id="rId8" Type="http://schemas.openxmlformats.org/officeDocument/2006/relationships/hyperlink" Target="https://vjudge.net/contest/829731" TargetMode="External"/><Relationship Id="rId9" Type="http://schemas.openxmlformats.org/officeDocument/2006/relationships/hyperlink" Target="https://vjudge.net/contest/829731" TargetMode="External"/><Relationship Id="rId10" Type="http://schemas.openxmlformats.org/officeDocument/2006/relationships/hyperlink" Target="https://vjudge.net/contest/829731" TargetMode="External"/><Relationship Id="rId11" Type="http://schemas.openxmlformats.org/officeDocument/2006/relationships/hyperlink" Target="https://vjudge.net/contest/829731" TargetMode="External"/><Relationship Id="rId12" Type="http://schemas.openxmlformats.org/officeDocument/2006/relationships/hyperlink" Target="https://vjudge.net/contest/829731" TargetMode="External"/><Relationship Id="rId13" Type="http://schemas.openxmlformats.org/officeDocument/2006/relationships/hyperlink" Target="https://vjudge.net/contest/829731" TargetMode="External"/><Relationship Id="rId14" Type="http://schemas.openxmlformats.org/officeDocument/2006/relationships/hyperlink" Target="https://vjudge.net/contest/829731" TargetMode="External"/><Relationship Id="rId15" Type="http://schemas.openxmlformats.org/officeDocument/2006/relationships/hyperlink" Target="https://vjudge.net/contest/829731" TargetMode="External"/><Relationship Id="rId16" Type="http://schemas.openxmlformats.org/officeDocument/2006/relationships/hyperlink" Target="https://vjudge.net/contest/829731" TargetMode="External"/><Relationship Id="rId17" Type="http://schemas.openxmlformats.org/officeDocument/2006/relationships/hyperlink" Target="https://vjudge.net/contest/829731" TargetMode="External"/><Relationship Id="rId18" Type="http://schemas.openxmlformats.org/officeDocument/2006/relationships/hyperlink" Target="https://vjudge.net/contest/829731" TargetMode="External"/><Relationship Id="rId19" Type="http://schemas.openxmlformats.org/officeDocument/2006/relationships/hyperlink" Target="https://vjudge.net/contest/829731" TargetMode="External"/><Relationship Id="rId20" Type="http://schemas.openxmlformats.org/officeDocument/2006/relationships/hyperlink" Target="https://vjudge.net/contest/829731" TargetMode="External"/><Relationship Id="rId21" Type="http://schemas.openxmlformats.org/officeDocument/2006/relationships/hyperlink" Target="https://vjudge.net/contest/829731" TargetMode="External"/><Relationship Id="rId22" Type="http://schemas.openxmlformats.org/officeDocument/2006/relationships/hyperlink" Target="https://vjudge.net/contest/829731" TargetMode="External"/><Relationship Id="rId23" Type="http://schemas.openxmlformats.org/officeDocument/2006/relationships/hyperlink" Target="https://vjudge.net/contest/829731" TargetMode="External"/><Relationship Id="rId24" Type="http://schemas.openxmlformats.org/officeDocument/2006/relationships/hyperlink" Target="https://vjudge.net/contest/829731" TargetMode="External"/><Relationship Id="rId25" Type="http://schemas.openxmlformats.org/officeDocument/2006/relationships/hyperlink" Target="https://vjudge.net/contest/829731" TargetMode="External"/><Relationship Id="rId26" Type="http://schemas.openxmlformats.org/officeDocument/2006/relationships/hyperlink" Target="https://vjudge.net/contest/829731" TargetMode="External"/><Relationship Id="rId27" Type="http://schemas.openxmlformats.org/officeDocument/2006/relationships/hyperlink" Target="https://vjudge.net/contest/829731" TargetMode="External"/><Relationship Id="rId28" Type="http://schemas.openxmlformats.org/officeDocument/2006/relationships/hyperlink" Target="https://vjudge.net/contest/829731" TargetMode="External"/><Relationship Id="rId29" Type="http://schemas.openxmlformats.org/officeDocument/2006/relationships/hyperlink" Target="https://vjudge.net/contest/829731" TargetMode="External"/><Relationship Id="rId30" Type="http://schemas.openxmlformats.org/officeDocument/2006/relationships/hyperlink" Target="https://vjudge.net/contest/829731" TargetMode="External"/><Relationship Id="rId31" Type="http://schemas.openxmlformats.org/officeDocument/2006/relationships/hyperlink" Target="https://vjudge.net/contest/829731" TargetMode="External"/><Relationship Id="rId32" Type="http://schemas.openxmlformats.org/officeDocument/2006/relationships/hyperlink" Target="https://vjudge.net/contest/829731" TargetMode="External"/><Relationship Id="rId33" Type="http://schemas.openxmlformats.org/officeDocument/2006/relationships/hyperlink" Target="https://vjudge.net/contest/830910" TargetMode="External"/><Relationship Id="rId34" Type="http://schemas.openxmlformats.org/officeDocument/2006/relationships/hyperlink" Target="https://vjudge.net/contest/830910" TargetMode="External"/><Relationship Id="rId35" Type="http://schemas.openxmlformats.org/officeDocument/2006/relationships/hyperlink" Target="https://vjudge.net/contest/830910" TargetMode="External"/><Relationship Id="rId36" Type="http://schemas.openxmlformats.org/officeDocument/2006/relationships/hyperlink" Target="https://vjudge.net/contest/830910" TargetMode="External"/><Relationship Id="rId37" Type="http://schemas.openxmlformats.org/officeDocument/2006/relationships/hyperlink" Target="https://vjudge.net/contest/830910" TargetMode="External"/><Relationship Id="rId38" Type="http://schemas.openxmlformats.org/officeDocument/2006/relationships/hyperlink" Target="https://vjudge.net/contest/830910" TargetMode="External"/><Relationship Id="rId39" Type="http://schemas.openxmlformats.org/officeDocument/2006/relationships/hyperlink" Target="https://vjudge.net/contest/830910" TargetMode="External"/><Relationship Id="rId40" Type="http://schemas.openxmlformats.org/officeDocument/2006/relationships/hyperlink" Target="https://vjudge.net/contest/830910" TargetMode="External"/><Relationship Id="rId41" Type="http://schemas.openxmlformats.org/officeDocument/2006/relationships/hyperlink" Target="https://vjudge.net/contest/830910" TargetMode="External"/><Relationship Id="rId42" Type="http://schemas.openxmlformats.org/officeDocument/2006/relationships/hyperlink" Target="https://vjudge.net/contest/830910" TargetMode="External"/><Relationship Id="rId43" Type="http://schemas.openxmlformats.org/officeDocument/2006/relationships/hyperlink" Target="https://vjudge.net/contest/830910" TargetMode="External"/><Relationship Id="rId44" Type="http://schemas.openxmlformats.org/officeDocument/2006/relationships/hyperlink" Target="https://vjudge.net/contest/830910" TargetMode="External"/><Relationship Id="rId45" Type="http://schemas.openxmlformats.org/officeDocument/2006/relationships/hyperlink" Target="https://vjudge.net/contest/830910" TargetMode="External"/><Relationship Id="rId46" Type="http://schemas.openxmlformats.org/officeDocument/2006/relationships/hyperlink" Target="https://vjudge.net/contest/830910" TargetMode="External"/><Relationship Id="rId47" Type="http://schemas.openxmlformats.org/officeDocument/2006/relationships/hyperlink" Target="https://vjudge.net/contest/830910" TargetMode="External"/><Relationship Id="rId48" Type="http://schemas.openxmlformats.org/officeDocument/2006/relationships/hyperlink" Target="https://vjudge.net/contest/830910" TargetMode="External"/><Relationship Id="rId49" Type="http://schemas.openxmlformats.org/officeDocument/2006/relationships/hyperlink" Target="https://vjudge.net/contest/830910"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vjudge.net/contest/831186" TargetMode="External"/><Relationship Id="rId2" Type="http://schemas.openxmlformats.org/officeDocument/2006/relationships/hyperlink" Target="https://vjudge.net/contest/831186" TargetMode="External"/><Relationship Id="rId3" Type="http://schemas.openxmlformats.org/officeDocument/2006/relationships/hyperlink" Target="https://vjudge.net/contest/831186" TargetMode="External"/><Relationship Id="rId4" Type="http://schemas.openxmlformats.org/officeDocument/2006/relationships/hyperlink" Target="https://vjudge.net/contest/831186" TargetMode="External"/><Relationship Id="rId5" Type="http://schemas.openxmlformats.org/officeDocument/2006/relationships/hyperlink" Target="https://vjudge.net/contest/831186" TargetMode="External"/><Relationship Id="rId6" Type="http://schemas.openxmlformats.org/officeDocument/2006/relationships/hyperlink" Target="https://vjudge.net/contest/831186" TargetMode="External"/><Relationship Id="rId7" Type="http://schemas.openxmlformats.org/officeDocument/2006/relationships/hyperlink" Target="https://vjudge.net/contest/831186" TargetMode="External"/><Relationship Id="rId8" Type="http://schemas.openxmlformats.org/officeDocument/2006/relationships/hyperlink" Target="https://vjudge.net/contest/831186" TargetMode="External"/><Relationship Id="rId9" Type="http://schemas.openxmlformats.org/officeDocument/2006/relationships/hyperlink" Target="https://vjudge.net/contest/831186" TargetMode="External"/><Relationship Id="rId10" Type="http://schemas.openxmlformats.org/officeDocument/2006/relationships/hyperlink" Target="https://vjudge.net/contest/831186" TargetMode="External"/><Relationship Id="rId11" Type="http://schemas.openxmlformats.org/officeDocument/2006/relationships/hyperlink" Target="https://vjudge.net/contest/831186" TargetMode="External"/><Relationship Id="rId12" Type="http://schemas.openxmlformats.org/officeDocument/2006/relationships/hyperlink" Target="https://vjudge.net/contest/831186" TargetMode="External"/><Relationship Id="rId13" Type="http://schemas.openxmlformats.org/officeDocument/2006/relationships/hyperlink" Target="https://vjudge.net/contest/831186" TargetMode="External"/><Relationship Id="rId14" Type="http://schemas.openxmlformats.org/officeDocument/2006/relationships/hyperlink" Target="https://vjudge.net/contest/831186" TargetMode="External"/><Relationship Id="rId15" Type="http://schemas.openxmlformats.org/officeDocument/2006/relationships/hyperlink" Target="https://vjudge.net/contest/831186" TargetMode="External"/><Relationship Id="rId16" Type="http://schemas.openxmlformats.org/officeDocument/2006/relationships/hyperlink" Target="https://vjudge.net/contest/831186" TargetMode="External"/><Relationship Id="rId17" Type="http://schemas.openxmlformats.org/officeDocument/2006/relationships/hyperlink" Target="https://vjudge.net/contest/831186" TargetMode="External"/><Relationship Id="rId18" Type="http://schemas.openxmlformats.org/officeDocument/2006/relationships/hyperlink" Target="https://vjudge.net/contest/831186" TargetMode="External"/><Relationship Id="rId19" Type="http://schemas.openxmlformats.org/officeDocument/2006/relationships/hyperlink" Target="https://vjudge.net/contest/831186" TargetMode="External"/><Relationship Id="rId20" Type="http://schemas.openxmlformats.org/officeDocument/2006/relationships/hyperlink" Target="https://vjudge.net/contest/831186" TargetMode="External"/><Relationship Id="rId21" Type="http://schemas.openxmlformats.org/officeDocument/2006/relationships/hyperlink" Target="https://vjudge.net/contest/832253" TargetMode="External"/><Relationship Id="rId22" Type="http://schemas.openxmlformats.org/officeDocument/2006/relationships/hyperlink" Target="https://vjudge.net/contest/832253" TargetMode="External"/><Relationship Id="rId23" Type="http://schemas.openxmlformats.org/officeDocument/2006/relationships/hyperlink" Target="https://vjudge.net/contest/832253" TargetMode="External"/><Relationship Id="rId24" Type="http://schemas.openxmlformats.org/officeDocument/2006/relationships/hyperlink" Target="https://vjudge.net/contest/832253" TargetMode="External"/><Relationship Id="rId25" Type="http://schemas.openxmlformats.org/officeDocument/2006/relationships/hyperlink" Target="https://vjudge.net/contest/832253" TargetMode="External"/><Relationship Id="rId26" Type="http://schemas.openxmlformats.org/officeDocument/2006/relationships/hyperlink" Target="https://vjudge.net/contest/832253" TargetMode="External"/><Relationship Id="rId27" Type="http://schemas.openxmlformats.org/officeDocument/2006/relationships/hyperlink" Target="https://vjudge.net/contest/832253" TargetMode="External"/><Relationship Id="rId28" Type="http://schemas.openxmlformats.org/officeDocument/2006/relationships/hyperlink" Target="https://vjudge.net/contest/832253" TargetMode="External"/><Relationship Id="rId29" Type="http://schemas.openxmlformats.org/officeDocument/2006/relationships/hyperlink" Target="https://vjudge.net/contest/832253" TargetMode="External"/><Relationship Id="rId30" Type="http://schemas.openxmlformats.org/officeDocument/2006/relationships/hyperlink" Target="https://vjudge.net/contest/832253" TargetMode="External"/><Relationship Id="rId31" Type="http://schemas.openxmlformats.org/officeDocument/2006/relationships/hyperlink" Target="https://vjudge.net/contest/832253" TargetMode="External"/><Relationship Id="rId32" Type="http://schemas.openxmlformats.org/officeDocument/2006/relationships/hyperlink" Target="https://vjudge.net/contest/832253" TargetMode="External"/><Relationship Id="rId33" Type="http://schemas.openxmlformats.org/officeDocument/2006/relationships/hyperlink" Target="https://vjudge.net/contest/832253" TargetMode="External"/><Relationship Id="rId34" Type="http://schemas.openxmlformats.org/officeDocument/2006/relationships/hyperlink" Target="https://vjudge.net/contest/832253" TargetMode="External"/><Relationship Id="rId35" Type="http://schemas.openxmlformats.org/officeDocument/2006/relationships/hyperlink" Target="https://vjudge.net/contest/832253" TargetMode="External"/><Relationship Id="rId36" Type="http://schemas.openxmlformats.org/officeDocument/2006/relationships/hyperlink" Target="https://vjudge.net/contest/832253" TargetMode="External"/><Relationship Id="rId37" Type="http://schemas.openxmlformats.org/officeDocument/2006/relationships/hyperlink" Target="https://vjudge.net/contest/832253" TargetMode="External"/><Relationship Id="rId38" Type="http://schemas.openxmlformats.org/officeDocument/2006/relationships/hyperlink" Target="https://vjudge.net/contest/832253" TargetMode="External"/><Relationship Id="rId39" Type="http://schemas.openxmlformats.org/officeDocument/2006/relationships/hyperlink" Target="https://vjudge.net/contest/833186" TargetMode="External"/><Relationship Id="rId40" Type="http://schemas.openxmlformats.org/officeDocument/2006/relationships/hyperlink" Target="https://vjudge.net/contest/833186" TargetMode="External"/><Relationship Id="rId41" Type="http://schemas.openxmlformats.org/officeDocument/2006/relationships/hyperlink" Target="https://vjudge.net/contest/833186" TargetMode="External"/><Relationship Id="rId42" Type="http://schemas.openxmlformats.org/officeDocument/2006/relationships/hyperlink" Target="https://vjudge.net/contest/833186" TargetMode="External"/><Relationship Id="rId43" Type="http://schemas.openxmlformats.org/officeDocument/2006/relationships/hyperlink" Target="https://vjudge.net/contest/833186" TargetMode="External"/><Relationship Id="rId44" Type="http://schemas.openxmlformats.org/officeDocument/2006/relationships/hyperlink" Target="https://vjudge.net/contest/833186" TargetMode="External"/><Relationship Id="rId45" Type="http://schemas.openxmlformats.org/officeDocument/2006/relationships/hyperlink" Target="https://vjudge.net/contest/833186" TargetMode="External"/><Relationship Id="rId46" Type="http://schemas.openxmlformats.org/officeDocument/2006/relationships/hyperlink" Target="https://vjudge.net/contest/833186" TargetMode="External"/><Relationship Id="rId47" Type="http://schemas.openxmlformats.org/officeDocument/2006/relationships/hyperlink" Target="https://vjudge.net/contest/833186" TargetMode="External"/><Relationship Id="rId48" Type="http://schemas.openxmlformats.org/officeDocument/2006/relationships/hyperlink" Target="https://vjudge.net/contest/833186" TargetMode="External"/><Relationship Id="rId49" Type="http://schemas.openxmlformats.org/officeDocument/2006/relationships/hyperlink" Target="https://vjudge.net/contest/833186" TargetMode="External"/><Relationship Id="rId50" Type="http://schemas.openxmlformats.org/officeDocument/2006/relationships/hyperlink" Target="https://vjudge.net/contest/833186" TargetMode="External"/><Relationship Id="rId51" Type="http://schemas.openxmlformats.org/officeDocument/2006/relationships/hyperlink" Target="https://vjudge.net/contest/833186" TargetMode="External"/><Relationship Id="rId52" Type="http://schemas.openxmlformats.org/officeDocument/2006/relationships/hyperlink" Target="https://vjudge.net/contest/833186" TargetMode="External"/><Relationship Id="rId53" Type="http://schemas.openxmlformats.org/officeDocument/2006/relationships/hyperlink" Target="https://vjudge.net/contest/833746" TargetMode="External"/><Relationship Id="rId54" Type="http://schemas.openxmlformats.org/officeDocument/2006/relationships/hyperlink" Target="https://vjudge.net/contest/833746" TargetMode="External"/><Relationship Id="rId55" Type="http://schemas.openxmlformats.org/officeDocument/2006/relationships/hyperlink" Target="https://vjudge.net/contest/833746" TargetMode="External"/><Relationship Id="rId56" Type="http://schemas.openxmlformats.org/officeDocument/2006/relationships/hyperlink" Target="https://vjudge.net/contest/833746" TargetMode="External"/><Relationship Id="rId57" Type="http://schemas.openxmlformats.org/officeDocument/2006/relationships/hyperlink" Target="https://vjudge.net/contest/833746" TargetMode="External"/><Relationship Id="rId58" Type="http://schemas.openxmlformats.org/officeDocument/2006/relationships/hyperlink" Target="https://vjudge.net/contest/833746" TargetMode="External"/><Relationship Id="rId59" Type="http://schemas.openxmlformats.org/officeDocument/2006/relationships/hyperlink" Target="https://vjudge.net/contest/833746" TargetMode="External"/><Relationship Id="rId60" Type="http://schemas.openxmlformats.org/officeDocument/2006/relationships/hyperlink" Target="https://vjudge.net/contest/833746" TargetMode="External"/><Relationship Id="rId61" Type="http://schemas.openxmlformats.org/officeDocument/2006/relationships/hyperlink" Target="https://vjudge.net/contest/833746" TargetMode="External"/><Relationship Id="rId62" Type="http://schemas.openxmlformats.org/officeDocument/2006/relationships/hyperlink" Target="https://vjudge.net/contest/833746" TargetMode="External"/><Relationship Id="rId63" Type="http://schemas.openxmlformats.org/officeDocument/2006/relationships/hyperlink" Target="https://vjudge.net/contest/833746" TargetMode="External"/><Relationship Id="rId64" Type="http://schemas.openxmlformats.org/officeDocument/2006/relationships/hyperlink" Target="https://vjudge.net/contest/833746" TargetMode="External"/><Relationship Id="rId65" Type="http://schemas.openxmlformats.org/officeDocument/2006/relationships/hyperlink" Target="https://vjudge.net/contest/833748" TargetMode="External"/><Relationship Id="rId66" Type="http://schemas.openxmlformats.org/officeDocument/2006/relationships/hyperlink" Target="https://vjudge.net/contest/833748" TargetMode="External"/><Relationship Id="rId67" Type="http://schemas.openxmlformats.org/officeDocument/2006/relationships/hyperlink" Target="https://vjudge.net/contest/833748" TargetMode="External"/><Relationship Id="rId68" Type="http://schemas.openxmlformats.org/officeDocument/2006/relationships/hyperlink" Target="https://vjudge.net/contest/833748" TargetMode="External"/><Relationship Id="rId69" Type="http://schemas.openxmlformats.org/officeDocument/2006/relationships/hyperlink" Target="https://vjudge.net/contest/833748" TargetMode="External"/><Relationship Id="rId70" Type="http://schemas.openxmlformats.org/officeDocument/2006/relationships/hyperlink" Target="https://vjudge.net/contest/833748" TargetMode="External"/><Relationship Id="rId71" Type="http://schemas.openxmlformats.org/officeDocument/2006/relationships/hyperlink" Target="https://vjudge.net/contest/833748" TargetMode="External"/><Relationship Id="rId72" Type="http://schemas.openxmlformats.org/officeDocument/2006/relationships/hyperlink" Target="https://vjudge.net/contest/833748" TargetMode="External"/><Relationship Id="rId73" Type="http://schemas.openxmlformats.org/officeDocument/2006/relationships/hyperlink" Target="https://vjudge.net/contest/833748" TargetMode="External"/><Relationship Id="rId74" Type="http://schemas.openxmlformats.org/officeDocument/2006/relationships/hyperlink" Target="https://vjudge.net/contest/833748" TargetMode="External"/><Relationship Id="rId75" Type="http://schemas.openxmlformats.org/officeDocument/2006/relationships/hyperlink" Target="https://vjudge.net/contest/833748" TargetMode="External"/><Relationship Id="rId76" Type="http://schemas.openxmlformats.org/officeDocument/2006/relationships/hyperlink" Target="https://vjudge.net/contest/833748" TargetMode="External"/>
</Relationships>
</file>

<file path=xl/worksheets/_rels/sheet5.xml.rels><?xml version="1.0" encoding="UTF-8"?>
<Relationships xmlns="http://schemas.openxmlformats.org/package/2006/relationships"><Relationship Id="rId1" Type="http://schemas.openxmlformats.org/officeDocument/2006/relationships/hyperlink" Target="http://vjudge.net/contest/834215" TargetMode="External"/><Relationship Id="rId2" Type="http://schemas.openxmlformats.org/officeDocument/2006/relationships/hyperlink" Target="http://vjudge.net/contest/834215" TargetMode="External"/><Relationship Id="rId3" Type="http://schemas.openxmlformats.org/officeDocument/2006/relationships/hyperlink" Target="http://vjudge.net/contest/834215" TargetMode="External"/><Relationship Id="rId4" Type="http://schemas.openxmlformats.org/officeDocument/2006/relationships/hyperlink" Target="http://vjudge.net/contest/834215" TargetMode="External"/><Relationship Id="rId5" Type="http://schemas.openxmlformats.org/officeDocument/2006/relationships/hyperlink" Target="http://vjudge.net/contest/834215" TargetMode="External"/><Relationship Id="rId6" Type="http://schemas.openxmlformats.org/officeDocument/2006/relationships/hyperlink" Target="http://vjudge.net/contest/834215" TargetMode="External"/><Relationship Id="rId7" Type="http://schemas.openxmlformats.org/officeDocument/2006/relationships/hyperlink" Target="http://vjudge.net/contest/834215" TargetMode="External"/><Relationship Id="rId8" Type="http://schemas.openxmlformats.org/officeDocument/2006/relationships/hyperlink" Target="http://vjudge.net/contest/834215" TargetMode="External"/><Relationship Id="rId9" Type="http://schemas.openxmlformats.org/officeDocument/2006/relationships/hyperlink" Target="http://vjudge.net/contest/834215" TargetMode="External"/><Relationship Id="rId10" Type="http://schemas.openxmlformats.org/officeDocument/2006/relationships/hyperlink" Target="http://vjudge.net/contest/834215" TargetMode="External"/><Relationship Id="rId11" Type="http://schemas.openxmlformats.org/officeDocument/2006/relationships/hyperlink" Target="http://vjudge.net/contest/834215" TargetMode="External"/><Relationship Id="rId12" Type="http://schemas.openxmlformats.org/officeDocument/2006/relationships/hyperlink" Target="http://vjudge.net/contest/834215" TargetMode="External"/><Relationship Id="rId13" Type="http://schemas.openxmlformats.org/officeDocument/2006/relationships/hyperlink" Target="http://vjudge.net/contest/834638" TargetMode="External"/><Relationship Id="rId14" Type="http://schemas.openxmlformats.org/officeDocument/2006/relationships/hyperlink" Target="http://vjudge.net/contest/834638" TargetMode="External"/><Relationship Id="rId15" Type="http://schemas.openxmlformats.org/officeDocument/2006/relationships/hyperlink" Target="http://vjudge.net/contest/834638" TargetMode="External"/><Relationship Id="rId16" Type="http://schemas.openxmlformats.org/officeDocument/2006/relationships/hyperlink" Target="http://vjudge.net/contest/834638" TargetMode="External"/><Relationship Id="rId17" Type="http://schemas.openxmlformats.org/officeDocument/2006/relationships/hyperlink" Target="http://vjudge.net/contest/834638" TargetMode="External"/><Relationship Id="rId18" Type="http://schemas.openxmlformats.org/officeDocument/2006/relationships/hyperlink" Target="http://vjudge.net/contest/834638" TargetMode="External"/><Relationship Id="rId19" Type="http://schemas.openxmlformats.org/officeDocument/2006/relationships/hyperlink" Target="http://vjudge.net/contest/834638" TargetMode="External"/><Relationship Id="rId20" Type="http://schemas.openxmlformats.org/officeDocument/2006/relationships/hyperlink" Target="http://vjudge.net/contest/834638" TargetMode="External"/><Relationship Id="rId21" Type="http://schemas.openxmlformats.org/officeDocument/2006/relationships/hyperlink" Target="http://vjudge.net/contest/834638" TargetMode="External"/><Relationship Id="rId22" Type="http://schemas.openxmlformats.org/officeDocument/2006/relationships/hyperlink" Target="http://vjudge.net/contest/834638" TargetMode="External"/><Relationship Id="rId23" Type="http://schemas.openxmlformats.org/officeDocument/2006/relationships/hyperlink" Target="http://vjudge.net/contest/834638" TargetMode="External"/><Relationship Id="rId24" Type="http://schemas.openxmlformats.org/officeDocument/2006/relationships/hyperlink" Target="http://vjudge.net/contest/834638" TargetMode="External"/><Relationship Id="rId25" Type="http://schemas.openxmlformats.org/officeDocument/2006/relationships/hyperlink" Target="http://vjudge.net/contest/834638" TargetMode="External"/><Relationship Id="rId26" Type="http://schemas.openxmlformats.org/officeDocument/2006/relationships/hyperlink" Target="http://vjudge.net/contest/834638" TargetMode="External"/><Relationship Id="rId27" Type="http://schemas.openxmlformats.org/officeDocument/2006/relationships/hyperlink" Target="http://vjudge.net/contest/834638" TargetMode="External"/><Relationship Id="rId28" Type="http://schemas.openxmlformats.org/officeDocument/2006/relationships/hyperlink" Target="http://vjudge.net/contest/834638" TargetMode="External"/><Relationship Id="rId29" Type="http://schemas.openxmlformats.org/officeDocument/2006/relationships/hyperlink" Target="http://vjudge.net/contest/834638" TargetMode="External"/><Relationship Id="rId30" Type="http://schemas.openxmlformats.org/officeDocument/2006/relationships/hyperlink" Target="http://vjudge.net/contest/834638" TargetMode="External"/><Relationship Id="rId31" Type="http://schemas.openxmlformats.org/officeDocument/2006/relationships/hyperlink" Target="http://vjudge.net/contest/834638" TargetMode="External"/><Relationship Id="rId32" Type="http://schemas.openxmlformats.org/officeDocument/2006/relationships/hyperlink" Target="http://vjudge.net/contest/834638" TargetMode="External"/><Relationship Id="rId33" Type="http://schemas.openxmlformats.org/officeDocument/2006/relationships/hyperlink" Target="http://vjudge.net/contest/834638" TargetMode="External"/><Relationship Id="rId34" Type="http://schemas.openxmlformats.org/officeDocument/2006/relationships/hyperlink" Target="http://vjudge.net/contest/834638" TargetMode="External"/><Relationship Id="rId35" Type="http://schemas.openxmlformats.org/officeDocument/2006/relationships/hyperlink" Target="http://vjudge.net/contest/834638" TargetMode="External"/><Relationship Id="rId36" Type="http://schemas.openxmlformats.org/officeDocument/2006/relationships/hyperlink" Target="http://vjudge.net/contest/834638" TargetMode="External"/><Relationship Id="rId37" Type="http://schemas.openxmlformats.org/officeDocument/2006/relationships/hyperlink" Target="http://vjudge.net/contest/834638" TargetMode="External"/><Relationship Id="rId38" Type="http://schemas.openxmlformats.org/officeDocument/2006/relationships/hyperlink" Target="http://vjudge.net/contest/834638" TargetMode="External"/><Relationship Id="rId39" Type="http://schemas.openxmlformats.org/officeDocument/2006/relationships/hyperlink" Target="http://vjudge.net/contest/834638" TargetMode="External"/><Relationship Id="rId40" Type="http://schemas.openxmlformats.org/officeDocument/2006/relationships/hyperlink" Target="http://vjudge.net/contest/834638" TargetMode="External"/><Relationship Id="rId41" Type="http://schemas.openxmlformats.org/officeDocument/2006/relationships/hyperlink" Target="http://vjudge.net/contest/834638" TargetMode="External"/><Relationship Id="rId42" Type="http://schemas.openxmlformats.org/officeDocument/2006/relationships/hyperlink" Target="http://vjudge.net/contest/834638" TargetMode="External"/><Relationship Id="rId43" Type="http://schemas.openxmlformats.org/officeDocument/2006/relationships/hyperlink" Target="http://vjudge.net/contest/834638" TargetMode="External"/><Relationship Id="rId44" Type="http://schemas.openxmlformats.org/officeDocument/2006/relationships/hyperlink" Target="http://vjudge.net/contest/834901" TargetMode="External"/><Relationship Id="rId45" Type="http://schemas.openxmlformats.org/officeDocument/2006/relationships/hyperlink" Target="http://vjudge.net/contest/834901" TargetMode="External"/><Relationship Id="rId46" Type="http://schemas.openxmlformats.org/officeDocument/2006/relationships/hyperlink" Target="http://vjudge.net/contest/834901" TargetMode="External"/><Relationship Id="rId47" Type="http://schemas.openxmlformats.org/officeDocument/2006/relationships/hyperlink" Target="http://vjudge.net/contest/834901" TargetMode="External"/><Relationship Id="rId48" Type="http://schemas.openxmlformats.org/officeDocument/2006/relationships/hyperlink" Target="http://vjudge.net/contest/834901" TargetMode="External"/><Relationship Id="rId49" Type="http://schemas.openxmlformats.org/officeDocument/2006/relationships/hyperlink" Target="http://vjudge.net/contest/834901" TargetMode="External"/><Relationship Id="rId50" Type="http://schemas.openxmlformats.org/officeDocument/2006/relationships/hyperlink" Target="http://vjudge.net/contest/834901" TargetMode="External"/><Relationship Id="rId51" Type="http://schemas.openxmlformats.org/officeDocument/2006/relationships/hyperlink" Target="http://vjudge.net/contest/834901" TargetMode="External"/><Relationship Id="rId52" Type="http://schemas.openxmlformats.org/officeDocument/2006/relationships/hyperlink" Target="http://vjudge.net/contest/834901" TargetMode="External"/><Relationship Id="rId53" Type="http://schemas.openxmlformats.org/officeDocument/2006/relationships/hyperlink" Target="http://vjudge.net/contest/834901" TargetMode="External"/><Relationship Id="rId54" Type="http://schemas.openxmlformats.org/officeDocument/2006/relationships/hyperlink" Target="http://vjudge.net/contest/835984" TargetMode="External"/><Relationship Id="rId55" Type="http://schemas.openxmlformats.org/officeDocument/2006/relationships/hyperlink" Target="http://vjudge.net/contest/835984" TargetMode="External"/><Relationship Id="rId56" Type="http://schemas.openxmlformats.org/officeDocument/2006/relationships/hyperlink" Target="http://vjudge.net/contest/835984" TargetMode="External"/><Relationship Id="rId57" Type="http://schemas.openxmlformats.org/officeDocument/2006/relationships/hyperlink" Target="http://vjudge.net/contest/835984" TargetMode="External"/><Relationship Id="rId58" Type="http://schemas.openxmlformats.org/officeDocument/2006/relationships/hyperlink" Target="http://vjudge.net/contest/835984" TargetMode="External"/><Relationship Id="rId59" Type="http://schemas.openxmlformats.org/officeDocument/2006/relationships/hyperlink" Target="http://vjudge.net/contest/835984" TargetMode="External"/><Relationship Id="rId60" Type="http://schemas.openxmlformats.org/officeDocument/2006/relationships/hyperlink" Target="http://vjudge.net/contest/835984" TargetMode="External"/><Relationship Id="rId61" Type="http://schemas.openxmlformats.org/officeDocument/2006/relationships/hyperlink" Target="http://vjudge.net/contest/835984" TargetMode="External"/><Relationship Id="rId62" Type="http://schemas.openxmlformats.org/officeDocument/2006/relationships/hyperlink" Target="http://vjudge.net/contest/835984" TargetMode="External"/><Relationship Id="rId63" Type="http://schemas.openxmlformats.org/officeDocument/2006/relationships/hyperlink" Target="http://vjudge.net/contest/835984" TargetMode="External"/><Relationship Id="rId64" Type="http://schemas.openxmlformats.org/officeDocument/2006/relationships/hyperlink" Target="http://vjudge.net/contest/835984" TargetMode="External"/><Relationship Id="rId65" Type="http://schemas.openxmlformats.org/officeDocument/2006/relationships/hyperlink" Target="http://vjudge.net/contest/835984" TargetMode="External"/><Relationship Id="rId66" Type="http://schemas.openxmlformats.org/officeDocument/2006/relationships/hyperlink" Target="http://vjudge.net/contest/836303" TargetMode="External"/><Relationship Id="rId67" Type="http://schemas.openxmlformats.org/officeDocument/2006/relationships/hyperlink" Target="http://vjudge.net/contest/836303" TargetMode="External"/><Relationship Id="rId68" Type="http://schemas.openxmlformats.org/officeDocument/2006/relationships/hyperlink" Target="http://vjudge.net/contest/836303" TargetMode="External"/><Relationship Id="rId69" Type="http://schemas.openxmlformats.org/officeDocument/2006/relationships/hyperlink" Target="http://vjudge.net/contest/836303" TargetMode="External"/><Relationship Id="rId70" Type="http://schemas.openxmlformats.org/officeDocument/2006/relationships/hyperlink" Target="http://vjudge.net/contest/836303" TargetMode="External"/><Relationship Id="rId71" Type="http://schemas.openxmlformats.org/officeDocument/2006/relationships/hyperlink" Target="http://vjudge.net/contest/836303" TargetMode="External"/><Relationship Id="rId72" Type="http://schemas.openxmlformats.org/officeDocument/2006/relationships/hyperlink" Target="http://vjudge.net/contest/836303" TargetMode="External"/><Relationship Id="rId73" Type="http://schemas.openxmlformats.org/officeDocument/2006/relationships/hyperlink" Target="http://vjudge.net/contest/836303"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7.89453125" defaultRowHeight="15" customHeight="false" zeroHeight="false" outlineLevelRow="0" outlineLevelCol="0"/>
  <cols>
    <col collapsed="false" customWidth="true" hidden="false" outlineLevel="0" max="1" min="1" style="1" width="10.79"/>
    <col collapsed="false" customWidth="true" hidden="false" outlineLevel="0" max="2" min="2" style="1" width="36.26"/>
    <col collapsed="false" customWidth="true" hidden="false" outlineLevel="0" max="3" min="3" style="1" width="30.15"/>
    <col collapsed="false" customWidth="true" hidden="false" outlineLevel="0" max="4" min="4" style="1" width="38.34"/>
    <col collapsed="false" customWidth="true" hidden="false" outlineLevel="0" max="24" min="5" style="1" width="12.34"/>
  </cols>
  <sheetData>
    <row r="1" customFormat="false" ht="20.25" hidden="false" customHeight="true" outlineLevel="0" collapsed="false">
      <c r="A1" s="2" t="s">
        <v>0</v>
      </c>
      <c r="B1" s="3" t="s">
        <v>1</v>
      </c>
      <c r="C1" s="4" t="s">
        <v>2</v>
      </c>
      <c r="D1" s="4" t="s">
        <v>3</v>
      </c>
    </row>
    <row r="2" customFormat="false" ht="20.25" hidden="false" customHeight="true" outlineLevel="0" collapsed="false">
      <c r="A2" s="5" t="s">
        <v>4</v>
      </c>
      <c r="B2" s="5"/>
      <c r="C2" s="5"/>
      <c r="D2" s="5"/>
    </row>
    <row r="3" customFormat="false" ht="20.25" hidden="false" customHeight="true" outlineLevel="0" collapsed="false">
      <c r="A3" s="6" t="s">
        <v>5</v>
      </c>
      <c r="B3" s="7" t="s">
        <v>6</v>
      </c>
      <c r="C3" s="8" t="s">
        <v>7</v>
      </c>
      <c r="D3" s="9" t="s">
        <v>8</v>
      </c>
    </row>
    <row r="4" customFormat="false" ht="20.25" hidden="false" customHeight="true" outlineLevel="0" collapsed="false">
      <c r="A4" s="6" t="s">
        <v>9</v>
      </c>
      <c r="B4" s="7" t="s">
        <v>10</v>
      </c>
      <c r="C4" s="8" t="s">
        <v>7</v>
      </c>
      <c r="D4" s="9" t="s">
        <v>11</v>
      </c>
    </row>
    <row r="5" customFormat="false" ht="20.25" hidden="false" customHeight="true" outlineLevel="0" collapsed="false">
      <c r="A5" s="6" t="s">
        <v>12</v>
      </c>
      <c r="B5" s="7" t="s">
        <v>13</v>
      </c>
      <c r="C5" s="8" t="s">
        <v>7</v>
      </c>
      <c r="D5" s="9" t="s">
        <v>13</v>
      </c>
    </row>
    <row r="6" customFormat="false" ht="20.25" hidden="false" customHeight="true" outlineLevel="0" collapsed="false">
      <c r="A6" s="6" t="s">
        <v>14</v>
      </c>
      <c r="B6" s="7" t="s">
        <v>15</v>
      </c>
      <c r="C6" s="8" t="s">
        <v>7</v>
      </c>
      <c r="D6" s="9" t="s">
        <v>16</v>
      </c>
    </row>
    <row r="7" customFormat="false" ht="20.25" hidden="false" customHeight="true" outlineLevel="0" collapsed="false">
      <c r="A7" s="6" t="s">
        <v>17</v>
      </c>
      <c r="B7" s="7" t="s">
        <v>18</v>
      </c>
      <c r="C7" s="8" t="s">
        <v>7</v>
      </c>
      <c r="D7" s="9" t="s">
        <v>19</v>
      </c>
    </row>
    <row r="8" customFormat="false" ht="20.25" hidden="false" customHeight="true" outlineLevel="0" collapsed="false">
      <c r="A8" s="6" t="s">
        <v>20</v>
      </c>
      <c r="B8" s="7" t="s">
        <v>21</v>
      </c>
      <c r="C8" s="8" t="s">
        <v>7</v>
      </c>
      <c r="D8" s="9" t="s">
        <v>22</v>
      </c>
    </row>
    <row r="9" customFormat="false" ht="20.25" hidden="false" customHeight="true" outlineLevel="0" collapsed="false">
      <c r="A9" s="6" t="s">
        <v>23</v>
      </c>
      <c r="B9" s="7" t="s">
        <v>24</v>
      </c>
      <c r="C9" s="8" t="s">
        <v>7</v>
      </c>
      <c r="D9" s="9" t="s">
        <v>25</v>
      </c>
    </row>
    <row r="10" customFormat="false" ht="20.25" hidden="false" customHeight="true" outlineLevel="0" collapsed="false">
      <c r="A10" s="6" t="s">
        <v>26</v>
      </c>
      <c r="B10" s="10" t="s">
        <v>27</v>
      </c>
      <c r="C10" s="8" t="s">
        <v>7</v>
      </c>
      <c r="D10" s="9" t="s">
        <v>28</v>
      </c>
    </row>
    <row r="11" customFormat="false" ht="20.25" hidden="false" customHeight="true" outlineLevel="0" collapsed="false">
      <c r="A11" s="6" t="s">
        <v>29</v>
      </c>
      <c r="B11" s="7" t="s">
        <v>30</v>
      </c>
      <c r="C11" s="8" t="s">
        <v>7</v>
      </c>
      <c r="D11" s="9" t="s">
        <v>31</v>
      </c>
    </row>
    <row r="12" customFormat="false" ht="20.25" hidden="false" customHeight="true" outlineLevel="0" collapsed="false">
      <c r="A12" s="6" t="s">
        <v>32</v>
      </c>
      <c r="B12" s="7" t="s">
        <v>33</v>
      </c>
      <c r="C12" s="8" t="s">
        <v>7</v>
      </c>
      <c r="D12" s="9" t="s">
        <v>34</v>
      </c>
    </row>
    <row r="13" customFormat="false" ht="20.25" hidden="false" customHeight="true" outlineLevel="0" collapsed="false">
      <c r="A13" s="6" t="s">
        <v>35</v>
      </c>
      <c r="B13" s="7" t="s">
        <v>36</v>
      </c>
      <c r="C13" s="8" t="s">
        <v>7</v>
      </c>
      <c r="D13" s="9" t="s">
        <v>37</v>
      </c>
    </row>
    <row r="14" customFormat="false" ht="20.25" hidden="false" customHeight="true" outlineLevel="0" collapsed="false">
      <c r="A14" s="6" t="s">
        <v>38</v>
      </c>
      <c r="B14" s="7" t="s">
        <v>39</v>
      </c>
      <c r="C14" s="8" t="s">
        <v>7</v>
      </c>
      <c r="D14" s="9" t="s">
        <v>40</v>
      </c>
    </row>
    <row r="15" customFormat="false" ht="20.25" hidden="false" customHeight="true" outlineLevel="0" collapsed="false">
      <c r="A15" s="6" t="s">
        <v>41</v>
      </c>
      <c r="B15" s="7" t="s">
        <v>42</v>
      </c>
      <c r="C15" s="8" t="s">
        <v>7</v>
      </c>
      <c r="D15" s="9" t="s">
        <v>43</v>
      </c>
    </row>
    <row r="16" customFormat="false" ht="20.25" hidden="false" customHeight="true" outlineLevel="0" collapsed="false">
      <c r="A16" s="6" t="s">
        <v>44</v>
      </c>
      <c r="B16" s="7" t="s">
        <v>45</v>
      </c>
      <c r="C16" s="8" t="s">
        <v>7</v>
      </c>
      <c r="D16" s="9" t="s">
        <v>46</v>
      </c>
    </row>
    <row r="17" customFormat="false" ht="20.25" hidden="false" customHeight="true" outlineLevel="0" collapsed="false">
      <c r="A17" s="6" t="s">
        <v>47</v>
      </c>
      <c r="B17" s="10" t="s">
        <v>48</v>
      </c>
      <c r="C17" s="9"/>
      <c r="D17" s="9" t="s">
        <v>49</v>
      </c>
    </row>
    <row r="18" customFormat="false" ht="20.25" hidden="false" customHeight="true" outlineLevel="0" collapsed="false">
      <c r="A18" s="6" t="s">
        <v>50</v>
      </c>
      <c r="B18" s="10" t="s">
        <v>51</v>
      </c>
      <c r="C18" s="9"/>
      <c r="D18" s="9"/>
    </row>
    <row r="19" customFormat="false" ht="20.25" hidden="false" customHeight="true" outlineLevel="0" collapsed="false">
      <c r="A19" s="6" t="s">
        <v>52</v>
      </c>
      <c r="B19" s="7" t="s">
        <v>53</v>
      </c>
      <c r="C19" s="8" t="s">
        <v>7</v>
      </c>
      <c r="D19" s="9" t="s">
        <v>54</v>
      </c>
    </row>
    <row r="20" customFormat="false" ht="20.25" hidden="false" customHeight="true" outlineLevel="0" collapsed="false">
      <c r="A20" s="6" t="s">
        <v>55</v>
      </c>
      <c r="B20" s="7" t="s">
        <v>53</v>
      </c>
      <c r="C20" s="8" t="s">
        <v>7</v>
      </c>
      <c r="D20" s="9" t="s">
        <v>56</v>
      </c>
    </row>
    <row r="21" customFormat="false" ht="20.25" hidden="false" customHeight="true" outlineLevel="0" collapsed="false">
      <c r="A21" s="6" t="s">
        <v>57</v>
      </c>
      <c r="B21" s="7" t="s">
        <v>53</v>
      </c>
      <c r="C21" s="8" t="s">
        <v>7</v>
      </c>
      <c r="D21" s="9" t="s">
        <v>58</v>
      </c>
    </row>
    <row r="22" customFormat="false" ht="20.25" hidden="false" customHeight="true" outlineLevel="0" collapsed="false">
      <c r="A22" s="6" t="s">
        <v>59</v>
      </c>
      <c r="B22" s="7" t="s">
        <v>60</v>
      </c>
      <c r="C22" s="8" t="s">
        <v>7</v>
      </c>
      <c r="D22" s="9" t="s">
        <v>61</v>
      </c>
    </row>
    <row r="23" customFormat="false" ht="20.25" hidden="false" customHeight="true" outlineLevel="0" collapsed="false">
      <c r="A23" s="6" t="s">
        <v>62</v>
      </c>
      <c r="B23" s="7" t="s">
        <v>63</v>
      </c>
    </row>
    <row r="24" customFormat="false" ht="20.25" hidden="false" customHeight="true" outlineLevel="0" collapsed="false">
      <c r="A24" s="6" t="s">
        <v>64</v>
      </c>
      <c r="B24" s="10" t="s">
        <v>65</v>
      </c>
      <c r="C24" s="8" t="s">
        <v>7</v>
      </c>
      <c r="D24" s="11" t="s">
        <v>66</v>
      </c>
    </row>
    <row r="25" customFormat="false" ht="20.25" hidden="false" customHeight="true" outlineLevel="0" collapsed="false">
      <c r="A25" s="6" t="s">
        <v>67</v>
      </c>
      <c r="B25" s="7" t="s">
        <v>68</v>
      </c>
      <c r="C25" s="8" t="s">
        <v>7</v>
      </c>
      <c r="D25" s="9" t="s">
        <v>69</v>
      </c>
    </row>
    <row r="26" customFormat="false" ht="20.25" hidden="false" customHeight="true" outlineLevel="0" collapsed="false">
      <c r="A26" s="6" t="s">
        <v>57</v>
      </c>
      <c r="B26" s="7" t="s">
        <v>70</v>
      </c>
      <c r="C26" s="8" t="s">
        <v>7</v>
      </c>
      <c r="D26" s="11" t="s">
        <v>71</v>
      </c>
    </row>
    <row r="27" customFormat="false" ht="20.25" hidden="false" customHeight="true" outlineLevel="0" collapsed="false">
      <c r="A27" s="6" t="s">
        <v>72</v>
      </c>
      <c r="B27" s="7" t="s">
        <v>73</v>
      </c>
      <c r="C27" s="8" t="s">
        <v>7</v>
      </c>
      <c r="D27" s="11" t="s">
        <v>74</v>
      </c>
    </row>
    <row r="28" customFormat="false" ht="20.25" hidden="false" customHeight="true" outlineLevel="0" collapsed="false">
      <c r="A28" s="6" t="s">
        <v>75</v>
      </c>
      <c r="B28" s="7" t="s">
        <v>76</v>
      </c>
      <c r="C28" s="8" t="s">
        <v>7</v>
      </c>
      <c r="D28" s="9" t="s">
        <v>77</v>
      </c>
    </row>
    <row r="29" customFormat="false" ht="20.25" hidden="false" customHeight="true" outlineLevel="0" collapsed="false">
      <c r="A29" s="6" t="s">
        <v>78</v>
      </c>
      <c r="B29" s="7" t="s">
        <v>79</v>
      </c>
      <c r="C29" s="9" t="s">
        <v>80</v>
      </c>
      <c r="D29" s="11"/>
    </row>
    <row r="30" customFormat="false" ht="20.25" hidden="false" customHeight="true" outlineLevel="0" collapsed="false">
      <c r="A30" s="6" t="s">
        <v>81</v>
      </c>
      <c r="B30" s="7" t="s">
        <v>82</v>
      </c>
      <c r="C30" s="8" t="s">
        <v>7</v>
      </c>
      <c r="D30" s="11" t="s">
        <v>83</v>
      </c>
    </row>
    <row r="31" customFormat="false" ht="20.25" hidden="false" customHeight="true" outlineLevel="0" collapsed="false">
      <c r="A31" s="12" t="s">
        <v>84</v>
      </c>
      <c r="B31" s="12"/>
      <c r="C31" s="12"/>
      <c r="D31" s="12"/>
    </row>
    <row r="32" customFormat="false" ht="20.25" hidden="false" customHeight="true" outlineLevel="0" collapsed="false">
      <c r="A32" s="5" t="s">
        <v>85</v>
      </c>
      <c r="B32" s="5"/>
      <c r="C32" s="5"/>
      <c r="D32" s="5"/>
    </row>
    <row r="33" customFormat="false" ht="20.25" hidden="false" customHeight="true" outlineLevel="0" collapsed="false">
      <c r="A33" s="6" t="s">
        <v>5</v>
      </c>
      <c r="B33" s="10" t="s">
        <v>86</v>
      </c>
      <c r="C33" s="8" t="s">
        <v>7</v>
      </c>
      <c r="D33" s="9" t="s">
        <v>87</v>
      </c>
    </row>
    <row r="34" customFormat="false" ht="20.25" hidden="false" customHeight="true" outlineLevel="0" collapsed="false">
      <c r="A34" s="6" t="s">
        <v>9</v>
      </c>
      <c r="B34" s="10" t="s">
        <v>88</v>
      </c>
      <c r="C34" s="8" t="s">
        <v>7</v>
      </c>
      <c r="D34" s="11" t="s">
        <v>89</v>
      </c>
    </row>
    <row r="35" customFormat="false" ht="20.25" hidden="false" customHeight="true" outlineLevel="0" collapsed="false">
      <c r="A35" s="6" t="s">
        <v>12</v>
      </c>
      <c r="B35" s="7" t="s">
        <v>90</v>
      </c>
      <c r="C35" s="8" t="s">
        <v>7</v>
      </c>
      <c r="D35" s="9" t="s">
        <v>91</v>
      </c>
    </row>
    <row r="36" customFormat="false" ht="20.25" hidden="false" customHeight="true" outlineLevel="0" collapsed="false">
      <c r="A36" s="6" t="s">
        <v>14</v>
      </c>
      <c r="B36" s="7" t="s">
        <v>92</v>
      </c>
      <c r="C36" s="13" t="s">
        <v>93</v>
      </c>
      <c r="D36" s="9" t="s">
        <v>94</v>
      </c>
    </row>
    <row r="37" customFormat="false" ht="20.25" hidden="false" customHeight="true" outlineLevel="0" collapsed="false">
      <c r="A37" s="6" t="s">
        <v>17</v>
      </c>
      <c r="B37" s="7" t="s">
        <v>95</v>
      </c>
      <c r="C37" s="8" t="s">
        <v>7</v>
      </c>
      <c r="D37" s="9" t="s">
        <v>96</v>
      </c>
    </row>
    <row r="38" customFormat="false" ht="20.25" hidden="false" customHeight="true" outlineLevel="0" collapsed="false">
      <c r="A38" s="6" t="s">
        <v>20</v>
      </c>
      <c r="B38" s="7" t="s">
        <v>97</v>
      </c>
      <c r="C38" s="8" t="s">
        <v>7</v>
      </c>
      <c r="D38" s="9" t="s">
        <v>98</v>
      </c>
    </row>
    <row r="39" customFormat="false" ht="20.25" hidden="false" customHeight="true" outlineLevel="0" collapsed="false">
      <c r="A39" s="6" t="s">
        <v>23</v>
      </c>
      <c r="B39" s="10" t="s">
        <v>99</v>
      </c>
      <c r="C39" s="11"/>
      <c r="D39" s="11"/>
    </row>
    <row r="40" customFormat="false" ht="20.25" hidden="false" customHeight="true" outlineLevel="0" collapsed="false">
      <c r="A40" s="6" t="s">
        <v>26</v>
      </c>
      <c r="B40" s="7" t="s">
        <v>100</v>
      </c>
      <c r="C40" s="8" t="s">
        <v>7</v>
      </c>
      <c r="D40" s="9" t="s">
        <v>101</v>
      </c>
    </row>
    <row r="41" customFormat="false" ht="20.25" hidden="false" customHeight="true" outlineLevel="0" collapsed="false">
      <c r="A41" s="6" t="s">
        <v>29</v>
      </c>
      <c r="B41" s="10" t="s">
        <v>102</v>
      </c>
      <c r="C41" s="11"/>
      <c r="D41" s="11"/>
    </row>
    <row r="42" customFormat="false" ht="20.25" hidden="false" customHeight="true" outlineLevel="0" collapsed="false">
      <c r="A42" s="6" t="s">
        <v>32</v>
      </c>
      <c r="B42" s="7" t="s">
        <v>103</v>
      </c>
      <c r="C42" s="8" t="s">
        <v>7</v>
      </c>
      <c r="D42" s="9" t="s">
        <v>104</v>
      </c>
    </row>
    <row r="43" customFormat="false" ht="20.25" hidden="false" customHeight="true" outlineLevel="0" collapsed="false">
      <c r="A43" s="6" t="s">
        <v>35</v>
      </c>
      <c r="B43" s="7" t="s">
        <v>105</v>
      </c>
      <c r="C43" s="11"/>
      <c r="D43" s="11"/>
    </row>
    <row r="44" customFormat="false" ht="20.25" hidden="false" customHeight="true" outlineLevel="0" collapsed="false">
      <c r="A44" s="5" t="s">
        <v>106</v>
      </c>
      <c r="B44" s="5"/>
      <c r="C44" s="5"/>
      <c r="D44" s="5"/>
    </row>
    <row r="45" customFormat="false" ht="20.25" hidden="false" customHeight="true" outlineLevel="0" collapsed="false">
      <c r="A45" s="6" t="s">
        <v>5</v>
      </c>
      <c r="B45" s="7" t="s">
        <v>107</v>
      </c>
      <c r="C45" s="8" t="s">
        <v>7</v>
      </c>
      <c r="D45" s="9" t="s">
        <v>108</v>
      </c>
    </row>
    <row r="46" customFormat="false" ht="20.25" hidden="false" customHeight="true" outlineLevel="0" collapsed="false">
      <c r="A46" s="6" t="s">
        <v>9</v>
      </c>
      <c r="B46" s="7" t="s">
        <v>109</v>
      </c>
      <c r="C46" s="8" t="s">
        <v>7</v>
      </c>
      <c r="D46" s="9" t="s">
        <v>110</v>
      </c>
    </row>
    <row r="47" customFormat="false" ht="20.25" hidden="false" customHeight="true" outlineLevel="0" collapsed="false">
      <c r="A47" s="6" t="s">
        <v>12</v>
      </c>
      <c r="B47" s="7" t="s">
        <v>111</v>
      </c>
      <c r="C47" s="8" t="s">
        <v>7</v>
      </c>
      <c r="D47" s="9" t="s">
        <v>112</v>
      </c>
    </row>
    <row r="48" customFormat="false" ht="20.25" hidden="false" customHeight="true" outlineLevel="0" collapsed="false">
      <c r="A48" s="6" t="s">
        <v>14</v>
      </c>
      <c r="B48" s="7" t="s">
        <v>113</v>
      </c>
      <c r="C48" s="8" t="s">
        <v>7</v>
      </c>
      <c r="D48" s="9" t="s">
        <v>114</v>
      </c>
    </row>
    <row r="49" customFormat="false" ht="20.25" hidden="false" customHeight="true" outlineLevel="0" collapsed="false">
      <c r="A49" s="6" t="s">
        <v>17</v>
      </c>
      <c r="B49" s="7" t="s">
        <v>115</v>
      </c>
      <c r="C49" s="8" t="s">
        <v>7</v>
      </c>
      <c r="D49" s="9" t="s">
        <v>116</v>
      </c>
    </row>
    <row r="50" customFormat="false" ht="20.25" hidden="false" customHeight="true" outlineLevel="0" collapsed="false">
      <c r="A50" s="6" t="s">
        <v>20</v>
      </c>
      <c r="B50" s="7" t="s">
        <v>117</v>
      </c>
      <c r="C50" s="8" t="s">
        <v>7</v>
      </c>
      <c r="D50" s="9" t="s">
        <v>118</v>
      </c>
    </row>
    <row r="51" customFormat="false" ht="20.25" hidden="false" customHeight="true" outlineLevel="0" collapsed="false">
      <c r="A51" s="6" t="s">
        <v>23</v>
      </c>
      <c r="B51" s="10" t="s">
        <v>119</v>
      </c>
      <c r="C51" s="8" t="s">
        <v>7</v>
      </c>
      <c r="D51" s="11" t="s">
        <v>120</v>
      </c>
    </row>
    <row r="52" customFormat="false" ht="20.25" hidden="false" customHeight="true" outlineLevel="0" collapsed="false">
      <c r="A52" s="12" t="s">
        <v>121</v>
      </c>
      <c r="B52" s="12"/>
      <c r="C52" s="12"/>
      <c r="D52" s="12"/>
    </row>
    <row r="53" customFormat="false" ht="20.25" hidden="false" customHeight="true" outlineLevel="0" collapsed="false">
      <c r="A53" s="6" t="s">
        <v>26</v>
      </c>
      <c r="B53" s="10" t="s">
        <v>122</v>
      </c>
      <c r="C53" s="8" t="s">
        <v>7</v>
      </c>
      <c r="D53" s="9" t="s">
        <v>123</v>
      </c>
    </row>
    <row r="54" customFormat="false" ht="20.25" hidden="false" customHeight="true" outlineLevel="0" collapsed="false">
      <c r="A54" s="6" t="s">
        <v>29</v>
      </c>
      <c r="B54" s="10" t="s">
        <v>124</v>
      </c>
      <c r="C54" s="8" t="s">
        <v>7</v>
      </c>
      <c r="D54" s="9"/>
    </row>
    <row r="55" customFormat="false" ht="20.25" hidden="false" customHeight="true" outlineLevel="0" collapsed="false">
      <c r="A55" s="6" t="s">
        <v>32</v>
      </c>
      <c r="B55" s="7" t="s">
        <v>125</v>
      </c>
      <c r="C55" s="11"/>
      <c r="D55" s="9" t="s">
        <v>126</v>
      </c>
    </row>
    <row r="56" customFormat="false" ht="20.25" hidden="false" customHeight="true" outlineLevel="0" collapsed="false">
      <c r="A56" s="6" t="s">
        <v>35</v>
      </c>
      <c r="B56" s="10" t="s">
        <v>127</v>
      </c>
      <c r="C56" s="11"/>
      <c r="D56" s="9"/>
    </row>
    <row r="57" customFormat="false" ht="20.25" hidden="false" customHeight="true" outlineLevel="0" collapsed="false">
      <c r="A57" s="6" t="s">
        <v>38</v>
      </c>
      <c r="B57" s="10" t="s">
        <v>128</v>
      </c>
      <c r="C57" s="11"/>
      <c r="D57" s="9"/>
    </row>
    <row r="58" customFormat="false" ht="20.25" hidden="false" customHeight="true" outlineLevel="0" collapsed="false">
      <c r="A58" s="6" t="s">
        <v>41</v>
      </c>
      <c r="B58" s="7" t="s">
        <v>129</v>
      </c>
      <c r="C58" s="11"/>
      <c r="D58" s="9"/>
    </row>
    <row r="59" customFormat="false" ht="20.25" hidden="false" customHeight="true" outlineLevel="0" collapsed="false">
      <c r="A59" s="6" t="s">
        <v>44</v>
      </c>
      <c r="B59" s="7" t="s">
        <v>130</v>
      </c>
      <c r="C59" s="11"/>
      <c r="D59" s="9"/>
    </row>
    <row r="60" customFormat="false" ht="20.25" hidden="false" customHeight="true" outlineLevel="0" collapsed="false">
      <c r="A60" s="14" t="s">
        <v>131</v>
      </c>
      <c r="B60" s="14"/>
      <c r="C60" s="14"/>
      <c r="D60" s="14"/>
    </row>
    <row r="61" customFormat="false" ht="20.25" hidden="false" customHeight="true" outlineLevel="0" collapsed="false">
      <c r="A61" s="15" t="s">
        <v>5</v>
      </c>
      <c r="B61" s="16" t="s">
        <v>132</v>
      </c>
      <c r="C61" s="8" t="s">
        <v>7</v>
      </c>
      <c r="D61" s="9" t="s">
        <v>133</v>
      </c>
    </row>
    <row r="62" customFormat="false" ht="20.25" hidden="false" customHeight="true" outlineLevel="0" collapsed="false">
      <c r="A62" s="15" t="s">
        <v>9</v>
      </c>
      <c r="B62" s="16" t="s">
        <v>134</v>
      </c>
      <c r="C62" s="8" t="s">
        <v>7</v>
      </c>
      <c r="D62" s="9" t="s">
        <v>135</v>
      </c>
    </row>
    <row r="63" customFormat="false" ht="20.25" hidden="false" customHeight="true" outlineLevel="0" collapsed="false">
      <c r="A63" s="15" t="s">
        <v>12</v>
      </c>
      <c r="B63" s="16" t="s">
        <v>136</v>
      </c>
      <c r="C63" s="8" t="s">
        <v>7</v>
      </c>
      <c r="D63" s="9" t="s">
        <v>137</v>
      </c>
    </row>
    <row r="64" customFormat="false" ht="20.25" hidden="false" customHeight="true" outlineLevel="0" collapsed="false">
      <c r="A64" s="15" t="s">
        <v>14</v>
      </c>
      <c r="B64" s="16" t="s">
        <v>138</v>
      </c>
      <c r="C64" s="8" t="s">
        <v>7</v>
      </c>
      <c r="D64" s="9" t="s">
        <v>139</v>
      </c>
    </row>
    <row r="65" customFormat="false" ht="20.25" hidden="false" customHeight="true" outlineLevel="0" collapsed="false">
      <c r="A65" s="15" t="s">
        <v>17</v>
      </c>
      <c r="B65" s="16" t="s">
        <v>140</v>
      </c>
      <c r="C65" s="8" t="s">
        <v>7</v>
      </c>
      <c r="D65" s="9" t="s">
        <v>141</v>
      </c>
    </row>
    <row r="66" customFormat="false" ht="20.25" hidden="false" customHeight="true" outlineLevel="0" collapsed="false">
      <c r="A66" s="15" t="s">
        <v>20</v>
      </c>
      <c r="B66" s="16" t="s">
        <v>142</v>
      </c>
      <c r="C66" s="8" t="s">
        <v>7</v>
      </c>
      <c r="D66" s="9" t="s">
        <v>143</v>
      </c>
    </row>
    <row r="67" customFormat="false" ht="20.25" hidden="false" customHeight="true" outlineLevel="0" collapsed="false">
      <c r="A67" s="15" t="s">
        <v>23</v>
      </c>
      <c r="B67" s="16" t="s">
        <v>144</v>
      </c>
      <c r="C67" s="8" t="s">
        <v>7</v>
      </c>
      <c r="D67" s="9" t="s">
        <v>145</v>
      </c>
    </row>
    <row r="68" customFormat="false" ht="20.25" hidden="false" customHeight="true" outlineLevel="0" collapsed="false">
      <c r="A68" s="15" t="s">
        <v>26</v>
      </c>
      <c r="B68" s="16" t="s">
        <v>146</v>
      </c>
      <c r="C68" s="8" t="s">
        <v>7</v>
      </c>
      <c r="D68" s="9" t="s">
        <v>147</v>
      </c>
    </row>
    <row r="69" customFormat="false" ht="20.25" hidden="false" customHeight="true" outlineLevel="0" collapsed="false">
      <c r="A69" s="15" t="s">
        <v>29</v>
      </c>
      <c r="B69" s="16" t="s">
        <v>148</v>
      </c>
      <c r="C69" s="8" t="s">
        <v>7</v>
      </c>
      <c r="D69" s="9" t="s">
        <v>149</v>
      </c>
    </row>
    <row r="70" customFormat="false" ht="20.25" hidden="false" customHeight="true" outlineLevel="0" collapsed="false">
      <c r="A70" s="15" t="s">
        <v>32</v>
      </c>
      <c r="B70" s="16" t="s">
        <v>150</v>
      </c>
      <c r="C70" s="8" t="s">
        <v>7</v>
      </c>
      <c r="D70" s="9" t="s">
        <v>151</v>
      </c>
    </row>
    <row r="71" customFormat="false" ht="20.25" hidden="false" customHeight="true" outlineLevel="0" collapsed="false">
      <c r="A71" s="15" t="s">
        <v>35</v>
      </c>
      <c r="B71" s="17" t="s">
        <v>152</v>
      </c>
      <c r="C71" s="8" t="s">
        <v>7</v>
      </c>
      <c r="D71" s="9" t="s">
        <v>153</v>
      </c>
    </row>
    <row r="72" customFormat="false" ht="20.25" hidden="false" customHeight="true" outlineLevel="0" collapsed="false">
      <c r="A72" s="15" t="s">
        <v>38</v>
      </c>
      <c r="B72" s="16" t="s">
        <v>154</v>
      </c>
      <c r="C72" s="11"/>
      <c r="D72" s="11"/>
    </row>
    <row r="73" customFormat="false" ht="20.25" hidden="false" customHeight="true" outlineLevel="0" collapsed="false">
      <c r="A73" s="15" t="s">
        <v>41</v>
      </c>
      <c r="B73" s="17" t="s">
        <v>155</v>
      </c>
      <c r="C73" s="8" t="s">
        <v>7</v>
      </c>
      <c r="D73" s="9" t="s">
        <v>156</v>
      </c>
    </row>
    <row r="74" customFormat="false" ht="20.25" hidden="false" customHeight="true" outlineLevel="0" collapsed="false">
      <c r="A74" s="15" t="s">
        <v>44</v>
      </c>
      <c r="B74" s="16" t="s">
        <v>157</v>
      </c>
      <c r="C74" s="8" t="s">
        <v>7</v>
      </c>
      <c r="D74" s="11" t="s">
        <v>158</v>
      </c>
    </row>
    <row r="75" customFormat="false" ht="20.25" hidden="false" customHeight="true" outlineLevel="0" collapsed="false">
      <c r="A75" s="15" t="s">
        <v>47</v>
      </c>
      <c r="B75" s="16" t="s">
        <v>159</v>
      </c>
      <c r="C75" s="8" t="s">
        <v>7</v>
      </c>
      <c r="D75" s="9" t="s">
        <v>160</v>
      </c>
    </row>
    <row r="76" customFormat="false" ht="20.25" hidden="false" customHeight="true" outlineLevel="0" collapsed="false">
      <c r="A76" s="15" t="s">
        <v>50</v>
      </c>
      <c r="B76" s="16" t="s">
        <v>161</v>
      </c>
      <c r="C76" s="11"/>
      <c r="D76" s="11"/>
    </row>
    <row r="77" customFormat="false" ht="20.25" hidden="false" customHeight="true" outlineLevel="0" collapsed="false">
      <c r="A77" s="15" t="s">
        <v>52</v>
      </c>
      <c r="B77" s="16" t="s">
        <v>162</v>
      </c>
      <c r="C77" s="11"/>
      <c r="D77" s="11"/>
    </row>
    <row r="78" customFormat="false" ht="20.25" hidden="false" customHeight="true" outlineLevel="0" collapsed="false">
      <c r="A78" s="15" t="s">
        <v>55</v>
      </c>
      <c r="B78" s="16" t="s">
        <v>163</v>
      </c>
      <c r="C78" s="11"/>
      <c r="D78" s="11"/>
    </row>
    <row r="79" customFormat="false" ht="20.25" hidden="false" customHeight="true" outlineLevel="0" collapsed="false">
      <c r="A79" s="15" t="s">
        <v>57</v>
      </c>
      <c r="B79" s="16" t="s">
        <v>164</v>
      </c>
      <c r="C79" s="11"/>
      <c r="D79" s="11"/>
    </row>
    <row r="80" customFormat="false" ht="20.25" hidden="false" customHeight="true" outlineLevel="0" collapsed="false">
      <c r="A80" s="15" t="s">
        <v>59</v>
      </c>
      <c r="B80" s="16" t="s">
        <v>165</v>
      </c>
      <c r="C80" s="11"/>
      <c r="D80" s="11"/>
    </row>
    <row r="81" customFormat="false" ht="20.25" hidden="false" customHeight="true" outlineLevel="0" collapsed="false">
      <c r="A81" s="5" t="s">
        <v>166</v>
      </c>
      <c r="B81" s="5"/>
      <c r="C81" s="5"/>
      <c r="D81" s="5"/>
    </row>
    <row r="82" customFormat="false" ht="20.25" hidden="false" customHeight="true" outlineLevel="0" collapsed="false">
      <c r="A82" s="6" t="s">
        <v>5</v>
      </c>
      <c r="B82" s="10" t="s">
        <v>167</v>
      </c>
      <c r="C82" s="8" t="s">
        <v>7</v>
      </c>
      <c r="D82" s="18" t="s">
        <v>168</v>
      </c>
    </row>
    <row r="83" customFormat="false" ht="20.25" hidden="false" customHeight="true" outlineLevel="0" collapsed="false">
      <c r="A83" s="6" t="s">
        <v>9</v>
      </c>
      <c r="B83" s="7" t="s">
        <v>169</v>
      </c>
      <c r="C83" s="8" t="s">
        <v>7</v>
      </c>
      <c r="D83" s="18" t="s">
        <v>170</v>
      </c>
    </row>
    <row r="84" customFormat="false" ht="20.25" hidden="false" customHeight="true" outlineLevel="0" collapsed="false">
      <c r="A84" s="6" t="s">
        <v>12</v>
      </c>
      <c r="B84" s="7" t="s">
        <v>171</v>
      </c>
      <c r="C84" s="8" t="s">
        <v>7</v>
      </c>
      <c r="D84" s="18" t="s">
        <v>172</v>
      </c>
    </row>
    <row r="85" customFormat="false" ht="20.25" hidden="false" customHeight="true" outlineLevel="0" collapsed="false">
      <c r="A85" s="6" t="s">
        <v>14</v>
      </c>
      <c r="B85" s="10" t="s">
        <v>173</v>
      </c>
      <c r="C85" s="8" t="s">
        <v>7</v>
      </c>
      <c r="D85" s="9" t="s">
        <v>174</v>
      </c>
    </row>
    <row r="86" customFormat="false" ht="20.25" hidden="false" customHeight="true" outlineLevel="0" collapsed="false">
      <c r="A86" s="6" t="s">
        <v>17</v>
      </c>
      <c r="B86" s="10" t="s">
        <v>175</v>
      </c>
      <c r="C86" s="8" t="s">
        <v>7</v>
      </c>
      <c r="D86" s="18" t="s">
        <v>176</v>
      </c>
    </row>
    <row r="87" customFormat="false" ht="20.25" hidden="false" customHeight="true" outlineLevel="0" collapsed="false">
      <c r="A87" s="6" t="s">
        <v>20</v>
      </c>
      <c r="B87" s="7" t="s">
        <v>177</v>
      </c>
      <c r="C87" s="11"/>
      <c r="D87" s="11"/>
    </row>
    <row r="88" customFormat="false" ht="20.25" hidden="false" customHeight="true" outlineLevel="0" collapsed="false">
      <c r="A88" s="6" t="s">
        <v>23</v>
      </c>
      <c r="B88" s="7" t="s">
        <v>178</v>
      </c>
      <c r="C88" s="8" t="s">
        <v>7</v>
      </c>
      <c r="D88" s="18" t="s">
        <v>179</v>
      </c>
    </row>
    <row r="89" customFormat="false" ht="20.25" hidden="false" customHeight="true" outlineLevel="0" collapsed="false">
      <c r="A89" s="6" t="s">
        <v>26</v>
      </c>
      <c r="B89" s="10" t="s">
        <v>180</v>
      </c>
      <c r="C89" s="11"/>
      <c r="D89" s="11"/>
    </row>
    <row r="90" customFormat="false" ht="20.25" hidden="false" customHeight="true" outlineLevel="0" collapsed="false">
      <c r="A90" s="6" t="s">
        <v>29</v>
      </c>
      <c r="B90" s="7" t="s">
        <v>181</v>
      </c>
      <c r="C90" s="11"/>
      <c r="D90" s="11"/>
    </row>
    <row r="91" customFormat="false" ht="20.25" hidden="false" customHeight="true" outlineLevel="0" collapsed="false">
      <c r="A91" s="6" t="s">
        <v>32</v>
      </c>
      <c r="B91" s="7" t="s">
        <v>182</v>
      </c>
      <c r="C91" s="11"/>
      <c r="D91" s="11"/>
    </row>
    <row r="92" customFormat="false" ht="20.25" hidden="false" customHeight="true" outlineLevel="0" collapsed="false">
      <c r="A92" s="6" t="s">
        <v>35</v>
      </c>
      <c r="B92" s="7" t="s">
        <v>183</v>
      </c>
      <c r="C92" s="11"/>
      <c r="D92" s="11"/>
    </row>
    <row r="93" customFormat="false" ht="20.25" hidden="false" customHeight="true" outlineLevel="0" collapsed="false">
      <c r="A93" s="6" t="s">
        <v>38</v>
      </c>
      <c r="B93" s="7" t="s">
        <v>184</v>
      </c>
      <c r="C93" s="8" t="s">
        <v>7</v>
      </c>
      <c r="D93" s="9" t="s">
        <v>185</v>
      </c>
    </row>
  </sheetData>
  <mergeCells count="10">
    <mergeCell ref="A2:D2"/>
    <mergeCell ref="D17:D18"/>
    <mergeCell ref="A31:D31"/>
    <mergeCell ref="A32:D32"/>
    <mergeCell ref="A44:D44"/>
    <mergeCell ref="A52:D52"/>
    <mergeCell ref="D53:D54"/>
    <mergeCell ref="D55:D59"/>
    <mergeCell ref="A60:D60"/>
    <mergeCell ref="A81:D81"/>
  </mergeCells>
  <hyperlinks>
    <hyperlink ref="B3" r:id="rId1" display="复习模板1"/>
    <hyperlink ref="B4" r:id="rId2" display="复习模板2"/>
    <hyperlink ref="B5" r:id="rId3" display="动态开点"/>
    <hyperlink ref="B6" r:id="rId4" display="线段树合并 / [Vani 有约会] 雨天的尾巴"/>
    <hyperlink ref="B7" r:id="rId5" display="标记永久化"/>
    <hyperlink ref="B8" r:id="rId6" display="势能线段树"/>
    <hyperlink ref="B9" r:id="rId7" display="替罪羊树"/>
    <hyperlink ref="B10" r:id="rId8" display="BIT进阶"/>
    <hyperlink ref="B11" r:id="rId9" display="线段树分治 / 二分图"/>
    <hyperlink ref="B12" r:id="rId10" display="可持久化线段树 1（可持久化数组）"/>
    <hyperlink ref="B13" r:id="rId11" display="可持久化线段树 2"/>
    <hyperlink ref="B14" r:id="rId12" display="李超线段树 / [HEOI2013] Segment"/>
    <hyperlink ref="B15" r:id="rId13" display="可持久化trie"/>
    <hyperlink ref="B16" r:id="rId14" display="可持久化并查集"/>
    <hyperlink ref="B17" r:id="rId15" display="K-D TREE1"/>
    <hyperlink ref="B18" r:id="rId16" display="K-D TREE2"/>
    <hyperlink ref="B19" r:id="rId17" display="平衡树相关"/>
    <hyperlink ref="B20" r:id="rId18" display="平衡树相关"/>
    <hyperlink ref="B21" r:id="rId19" display="平衡树相关"/>
    <hyperlink ref="B22" r:id="rId20" display="树套树"/>
    <hyperlink ref="B23" r:id="rId21" display="吉司机线段树"/>
    <hyperlink ref="B24" r:id="rId22" display="zkw线段树"/>
    <hyperlink ref="B25" r:id="rId23" display="线段树分裂"/>
    <hyperlink ref="B26" r:id="rId24" display="可持久化文艺平衡树"/>
    <hyperlink ref="B27" r:id="rId25" display="可并堆 1"/>
    <hyperlink ref="B28" r:id="rId26" display="树同构 / [BJOI2015] 树的同构"/>
    <hyperlink ref="B29" r:id="rId27" display="树哈希"/>
    <hyperlink ref="B30" r:id="rId28" display="可持久化平衡树"/>
    <hyperlink ref="B33" r:id="rId29" display="CDQ1"/>
    <hyperlink ref="B34" r:id="rId30" display="CDQ2"/>
    <hyperlink ref="B35" r:id="rId31" display="整体二分"/>
    <hyperlink ref="B36" r:id="rId32" display="二进制分组"/>
    <hyperlink ref="B37" r:id="rId33" display="带修莫队 / [国家集训队] 数颜色 / 维护队列"/>
    <hyperlink ref="B38" r:id="rId34" display="回滚莫队&amp;不删除莫队"/>
    <hyperlink ref="B39" r:id="rId35" display="Count on a tree II"/>
    <hyperlink ref="B40" r:id="rId36" display="糖果公园"/>
    <hyperlink ref="B41" r:id="rId37" display="Path"/>
    <hyperlink ref="B42" r:id="rId38" display="块状链表"/>
    <hyperlink ref="B43" r:id="rId39" display="二次离线莫队"/>
    <hyperlink ref="B45" r:id="rId40" display="宝物筛选"/>
    <hyperlink ref="B46" r:id="rId41" display="概率期望DP"/>
    <hyperlink ref="B47" r:id="rId42" display="数位DP"/>
    <hyperlink ref="B48" r:id="rId43" display="斜率优化1"/>
    <hyperlink ref="B49" r:id="rId44" display="斜率优化2"/>
    <hyperlink ref="B50" r:id="rId45" display="决策单调性"/>
    <hyperlink ref="B51" r:id="rId46" display="WQS二分1"/>
    <hyperlink ref="A52" r:id="rId47" display="WQS二分 ex练习：https://www.luogu.com.cn/article/3iw5frda"/>
    <hyperlink ref="B53" r:id="rId48" display="WQS二分2"/>
    <hyperlink ref="B54" r:id="rId49" display="WQS二分3"/>
    <hyperlink ref="B55" r:id="rId50" display="质因子状压"/>
    <hyperlink ref="B56" r:id="rId51" display="DP套DP1"/>
    <hyperlink ref="B57" r:id="rId52" display="DP套DP2"/>
    <hyperlink ref="B58" r:id="rId53" display="动态 DP"/>
    <hyperlink ref="B59" r:id="rId54" display="插头 DP"/>
    <hyperlink ref="B61" r:id="rId55" display="重链剖分 / 树链剖分"/>
    <hyperlink ref="B62" r:id="rId56" display="树上启发式合并"/>
    <hyperlink ref="B63" r:id="rId57" display="点分治"/>
    <hyperlink ref="B64" r:id="rId58" display="虚树 / [SDOI2011] 消耗战"/>
    <hyperlink ref="B65" r:id="rId59" display="长链剖分"/>
    <hyperlink ref="B66" r:id="rId60" display="点分树 / 震波"/>
    <hyperlink ref="B67" r:id="rId61" display="最短路扩展"/>
    <hyperlink ref="B68" r:id="rId62" display="差分约束"/>
    <hyperlink ref="B69" r:id="rId63" display="生成树扩展"/>
    <hyperlink ref="B70" r:id="rId64" display="图论建模"/>
    <hyperlink ref="B71" r:id="rId65" display="2-SAT"/>
    <hyperlink ref="B72" r:id="rId66" display="最小斯坦纳树"/>
    <hyperlink ref="B73" r:id="rId67" display="Kruskal 重构树"/>
    <hyperlink ref="B74" r:id="rId68" display="边双连通分量"/>
    <hyperlink ref="B75" r:id="rId69" display="圆方树"/>
    <hyperlink ref="B76" r:id="rId70" display="平面图"/>
    <hyperlink ref="B77" r:id="rId71" display="竞赛图"/>
    <hyperlink ref="B78" r:id="rId72" display="最小树形图"/>
    <hyperlink ref="B79" r:id="rId73" display="支配树"/>
    <hyperlink ref="B80" r:id="rId74" display="对偶图"/>
    <hyperlink ref="B82" r:id="rId75" display="Manacher"/>
    <hyperlink ref="B83" r:id="rId76" display="扩展 KMP / exKMP（Z 函数）"/>
    <hyperlink ref="B84" r:id="rId77" display="最小表示法"/>
    <hyperlink ref="B85" r:id="rId78" display="AC 自动机"/>
    <hyperlink ref="B86" r:id="rId79" display="KMP"/>
    <hyperlink ref="B87" r:id="rId80" display="后缀自动机（SAM）"/>
    <hyperlink ref="B88" r:id="rId81" display="后缀数组"/>
    <hyperlink ref="B89" r:id="rId82" display="LCP"/>
    <hyperlink ref="B90" r:id="rId83" display="回文树 / 回文自动机（PAM）"/>
    <hyperlink ref="B91" r:id="rId84" display="广义后缀自动机（广义 SAM）"/>
    <hyperlink ref="B92" r:id="rId85" display="后缀平衡树"/>
    <hyperlink ref="B93" r:id="rId86" display="子序列自动机"/>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7.89453125" defaultRowHeight="15" customHeight="false" zeroHeight="false" outlineLevelRow="0" outlineLevelCol="0"/>
  <cols>
    <col collapsed="false" customWidth="true" hidden="false" outlineLevel="0" max="1" min="1" style="1" width="8.45"/>
    <col collapsed="false" customWidth="true" hidden="false" outlineLevel="0" max="2" min="2" style="1" width="29.51"/>
    <col collapsed="false" customWidth="true" hidden="false" outlineLevel="0" max="3" min="3" style="1" width="21.32"/>
    <col collapsed="false" customWidth="true" hidden="false" outlineLevel="0" max="4" min="4" style="1" width="38.34"/>
    <col collapsed="false" customWidth="true" hidden="false" outlineLevel="0" max="24" min="5" style="1" width="12.34"/>
  </cols>
  <sheetData>
    <row r="1" customFormat="false" ht="20.25" hidden="false" customHeight="true" outlineLevel="0" collapsed="false">
      <c r="A1" s="19" t="s">
        <v>186</v>
      </c>
      <c r="B1" s="19"/>
      <c r="C1" s="19"/>
      <c r="D1" s="19"/>
    </row>
    <row r="2" customFormat="false" ht="20.25" hidden="false" customHeight="true" outlineLevel="0" collapsed="false">
      <c r="A2" s="20" t="s">
        <v>187</v>
      </c>
      <c r="B2" s="21" t="s">
        <v>188</v>
      </c>
      <c r="C2" s="20" t="s">
        <v>2</v>
      </c>
      <c r="D2" s="20" t="s">
        <v>3</v>
      </c>
    </row>
    <row r="3" customFormat="false" ht="20.25" hidden="false" customHeight="true" outlineLevel="0" collapsed="false">
      <c r="A3" s="22" t="s">
        <v>5</v>
      </c>
      <c r="B3" s="23" t="s">
        <v>189</v>
      </c>
      <c r="C3" s="8" t="s">
        <v>7</v>
      </c>
      <c r="D3" s="24" t="s">
        <v>190</v>
      </c>
    </row>
    <row r="4" customFormat="false" ht="20.25" hidden="false" customHeight="true" outlineLevel="0" collapsed="false">
      <c r="A4" s="22" t="s">
        <v>5</v>
      </c>
      <c r="B4" s="23" t="s">
        <v>191</v>
      </c>
      <c r="C4" s="8" t="s">
        <v>7</v>
      </c>
      <c r="D4" s="24" t="s">
        <v>192</v>
      </c>
    </row>
    <row r="5" customFormat="false" ht="20.25" hidden="false" customHeight="true" outlineLevel="0" collapsed="false">
      <c r="A5" s="22"/>
      <c r="B5" s="23" t="s">
        <v>193</v>
      </c>
      <c r="C5" s="8" t="s">
        <v>7</v>
      </c>
      <c r="D5" s="24" t="s">
        <v>194</v>
      </c>
    </row>
    <row r="6" customFormat="false" ht="20.25" hidden="false" customHeight="true" outlineLevel="0" collapsed="false">
      <c r="A6" s="22" t="s">
        <v>9</v>
      </c>
      <c r="B6" s="23" t="s">
        <v>195</v>
      </c>
      <c r="C6" s="8" t="s">
        <v>7</v>
      </c>
      <c r="D6" s="24" t="s">
        <v>196</v>
      </c>
    </row>
    <row r="7" customFormat="false" ht="20.25" hidden="false" customHeight="true" outlineLevel="0" collapsed="false">
      <c r="A7" s="22" t="s">
        <v>12</v>
      </c>
      <c r="B7" s="23" t="s">
        <v>195</v>
      </c>
      <c r="C7" s="8" t="s">
        <v>7</v>
      </c>
      <c r="D7" s="24" t="s">
        <v>197</v>
      </c>
    </row>
    <row r="8" customFormat="false" ht="20.25" hidden="false" customHeight="true" outlineLevel="0" collapsed="false">
      <c r="A8" s="22" t="s">
        <v>17</v>
      </c>
      <c r="B8" s="23" t="s">
        <v>198</v>
      </c>
      <c r="C8" s="8" t="s">
        <v>7</v>
      </c>
      <c r="D8" s="24" t="s">
        <v>199</v>
      </c>
    </row>
    <row r="9" customFormat="false" ht="20.25" hidden="false" customHeight="true" outlineLevel="0" collapsed="false">
      <c r="A9" s="22" t="s">
        <v>20</v>
      </c>
      <c r="B9" s="23" t="s">
        <v>200</v>
      </c>
      <c r="C9" s="8" t="s">
        <v>7</v>
      </c>
      <c r="D9" s="24" t="s">
        <v>201</v>
      </c>
    </row>
    <row r="10" customFormat="false" ht="20.25" hidden="false" customHeight="true" outlineLevel="0" collapsed="false">
      <c r="A10" s="22" t="s">
        <v>23</v>
      </c>
      <c r="B10" s="23" t="s">
        <v>202</v>
      </c>
      <c r="C10" s="8" t="s">
        <v>7</v>
      </c>
      <c r="D10" s="24" t="s">
        <v>203</v>
      </c>
    </row>
    <row r="11" customFormat="false" ht="20.25" hidden="false" customHeight="true" outlineLevel="0" collapsed="false">
      <c r="A11" s="22" t="s">
        <v>26</v>
      </c>
      <c r="B11" s="23" t="s">
        <v>204</v>
      </c>
      <c r="C11" s="8" t="s">
        <v>7</v>
      </c>
      <c r="D11" s="24" t="s">
        <v>205</v>
      </c>
    </row>
    <row r="12" customFormat="false" ht="20.25" hidden="false" customHeight="true" outlineLevel="0" collapsed="false">
      <c r="A12" s="22" t="s">
        <v>29</v>
      </c>
      <c r="B12" s="23" t="s">
        <v>206</v>
      </c>
      <c r="C12" s="8" t="s">
        <v>7</v>
      </c>
      <c r="D12" s="24" t="s">
        <v>207</v>
      </c>
    </row>
    <row r="13" customFormat="false" ht="20.25" hidden="false" customHeight="true" outlineLevel="0" collapsed="false">
      <c r="A13" s="22" t="s">
        <v>32</v>
      </c>
      <c r="B13" s="23" t="s">
        <v>208</v>
      </c>
      <c r="C13" s="8" t="s">
        <v>7</v>
      </c>
      <c r="D13" s="24" t="s">
        <v>209</v>
      </c>
    </row>
    <row r="14" customFormat="false" ht="20.25" hidden="false" customHeight="true" outlineLevel="0" collapsed="false">
      <c r="A14" s="22" t="s">
        <v>35</v>
      </c>
      <c r="B14" s="23" t="s">
        <v>210</v>
      </c>
      <c r="C14" s="8" t="s">
        <v>7</v>
      </c>
      <c r="D14" s="24" t="s">
        <v>211</v>
      </c>
    </row>
    <row r="15" customFormat="false" ht="20.25" hidden="false" customHeight="true" outlineLevel="0" collapsed="false">
      <c r="A15" s="22" t="s">
        <v>38</v>
      </c>
      <c r="B15" s="23" t="s">
        <v>212</v>
      </c>
      <c r="C15" s="24" t="s">
        <v>93</v>
      </c>
      <c r="D15" s="25" t="s">
        <v>213</v>
      </c>
    </row>
    <row r="16" customFormat="false" ht="20.25" hidden="false" customHeight="true" outlineLevel="0" collapsed="false">
      <c r="A16" s="22" t="s">
        <v>41</v>
      </c>
      <c r="B16" s="23" t="s">
        <v>214</v>
      </c>
      <c r="C16" s="8" t="s">
        <v>7</v>
      </c>
      <c r="D16" s="24" t="s">
        <v>215</v>
      </c>
    </row>
    <row r="17" customFormat="false" ht="20.25" hidden="false" customHeight="true" outlineLevel="0" collapsed="false">
      <c r="A17" s="22" t="s">
        <v>44</v>
      </c>
      <c r="B17" s="23" t="s">
        <v>214</v>
      </c>
      <c r="C17" s="8" t="s">
        <v>7</v>
      </c>
      <c r="D17" s="24" t="s">
        <v>216</v>
      </c>
    </row>
    <row r="18" customFormat="false" ht="20.25" hidden="false" customHeight="true" outlineLevel="0" collapsed="false">
      <c r="A18" s="22" t="s">
        <v>50</v>
      </c>
      <c r="B18" s="23" t="s">
        <v>214</v>
      </c>
      <c r="C18" s="8" t="s">
        <v>7</v>
      </c>
      <c r="D18" s="24"/>
    </row>
    <row r="19" customFormat="false" ht="20.25" hidden="false" customHeight="true" outlineLevel="0" collapsed="false">
      <c r="A19" s="22" t="s">
        <v>14</v>
      </c>
      <c r="B19" s="23" t="s">
        <v>217</v>
      </c>
      <c r="C19" s="8" t="s">
        <v>7</v>
      </c>
      <c r="D19" s="24" t="s">
        <v>218</v>
      </c>
    </row>
    <row r="20" customFormat="false" ht="20.25" hidden="false" customHeight="true" outlineLevel="0" collapsed="false">
      <c r="A20" s="22" t="s">
        <v>52</v>
      </c>
      <c r="B20" s="23" t="s">
        <v>219</v>
      </c>
      <c r="C20" s="24"/>
      <c r="D20" s="24"/>
    </row>
    <row r="21" customFormat="false" ht="20.25" hidden="false" customHeight="true" outlineLevel="0" collapsed="false">
      <c r="A21" s="22" t="s">
        <v>55</v>
      </c>
      <c r="B21" s="23" t="s">
        <v>220</v>
      </c>
      <c r="C21" s="8" t="s">
        <v>7</v>
      </c>
      <c r="D21" s="24" t="s">
        <v>221</v>
      </c>
    </row>
    <row r="22" customFormat="false" ht="20.25" hidden="false" customHeight="true" outlineLevel="0" collapsed="false">
      <c r="A22" s="19" t="s">
        <v>222</v>
      </c>
      <c r="B22" s="19"/>
      <c r="C22" s="19"/>
      <c r="D22" s="19"/>
    </row>
    <row r="23" customFormat="false" ht="20.25" hidden="false" customHeight="true" outlineLevel="0" collapsed="false">
      <c r="A23" s="26" t="s">
        <v>187</v>
      </c>
      <c r="B23" s="26" t="s">
        <v>188</v>
      </c>
      <c r="C23" s="4" t="s">
        <v>2</v>
      </c>
      <c r="D23" s="4" t="s">
        <v>3</v>
      </c>
    </row>
    <row r="24" customFormat="false" ht="20.25" hidden="false" customHeight="true" outlineLevel="0" collapsed="false">
      <c r="A24" s="27" t="s">
        <v>5</v>
      </c>
      <c r="B24" s="28" t="s">
        <v>223</v>
      </c>
      <c r="C24" s="8" t="s">
        <v>7</v>
      </c>
      <c r="D24" s="24" t="s">
        <v>224</v>
      </c>
    </row>
    <row r="25" customFormat="false" ht="20.25" hidden="false" customHeight="true" outlineLevel="0" collapsed="false">
      <c r="A25" s="27" t="s">
        <v>9</v>
      </c>
      <c r="B25" s="28" t="s">
        <v>225</v>
      </c>
      <c r="C25" s="8" t="s">
        <v>7</v>
      </c>
      <c r="D25" s="24" t="s">
        <v>226</v>
      </c>
    </row>
    <row r="26" customFormat="false" ht="20.25" hidden="false" customHeight="true" outlineLevel="0" collapsed="false">
      <c r="A26" s="27" t="s">
        <v>12</v>
      </c>
      <c r="B26" s="28" t="s">
        <v>227</v>
      </c>
      <c r="C26" s="8" t="s">
        <v>7</v>
      </c>
      <c r="D26" s="24" t="s">
        <v>228</v>
      </c>
    </row>
    <row r="27" customFormat="false" ht="20.25" hidden="false" customHeight="true" outlineLevel="0" collapsed="false">
      <c r="A27" s="27" t="s">
        <v>14</v>
      </c>
      <c r="B27" s="28" t="s">
        <v>229</v>
      </c>
      <c r="C27" s="8" t="s">
        <v>7</v>
      </c>
      <c r="D27" s="24" t="s">
        <v>230</v>
      </c>
    </row>
    <row r="28" customFormat="false" ht="20.25" hidden="false" customHeight="true" outlineLevel="0" collapsed="false">
      <c r="A28" s="27" t="s">
        <v>17</v>
      </c>
      <c r="B28" s="28" t="s">
        <v>231</v>
      </c>
      <c r="C28" s="8" t="s">
        <v>7</v>
      </c>
      <c r="D28" s="24" t="s">
        <v>232</v>
      </c>
    </row>
    <row r="29" customFormat="false" ht="20.25" hidden="false" customHeight="true" outlineLevel="0" collapsed="false">
      <c r="A29" s="27" t="s">
        <v>20</v>
      </c>
      <c r="B29" s="28" t="s">
        <v>233</v>
      </c>
      <c r="C29" s="8" t="s">
        <v>7</v>
      </c>
      <c r="D29" s="24" t="s">
        <v>234</v>
      </c>
    </row>
    <row r="30" customFormat="false" ht="20.25" hidden="false" customHeight="true" outlineLevel="0" collapsed="false">
      <c r="A30" s="27" t="s">
        <v>23</v>
      </c>
      <c r="B30" s="28" t="s">
        <v>235</v>
      </c>
      <c r="C30" s="24" t="s">
        <v>93</v>
      </c>
      <c r="D30" s="24" t="s">
        <v>236</v>
      </c>
    </row>
    <row r="31" customFormat="false" ht="20.25" hidden="false" customHeight="true" outlineLevel="0" collapsed="false">
      <c r="A31" s="27" t="s">
        <v>26</v>
      </c>
      <c r="B31" s="28" t="s">
        <v>237</v>
      </c>
      <c r="C31" s="8" t="s">
        <v>7</v>
      </c>
      <c r="D31" s="24" t="s">
        <v>238</v>
      </c>
    </row>
    <row r="32" customFormat="false" ht="20.25" hidden="false" customHeight="true" outlineLevel="0" collapsed="false">
      <c r="A32" s="27"/>
      <c r="B32" s="28" t="s">
        <v>239</v>
      </c>
      <c r="C32" s="8" t="s">
        <v>7</v>
      </c>
      <c r="D32" s="24" t="s">
        <v>240</v>
      </c>
    </row>
    <row r="33" customFormat="false" ht="20.25" hidden="false" customHeight="true" outlineLevel="0" collapsed="false">
      <c r="A33" s="27" t="s">
        <v>29</v>
      </c>
      <c r="B33" s="28" t="s">
        <v>241</v>
      </c>
      <c r="C33" s="8" t="s">
        <v>7</v>
      </c>
      <c r="D33" s="24" t="s">
        <v>242</v>
      </c>
    </row>
    <row r="34" customFormat="false" ht="20.25" hidden="false" customHeight="true" outlineLevel="0" collapsed="false">
      <c r="A34" s="27" t="s">
        <v>32</v>
      </c>
      <c r="B34" s="28" t="s">
        <v>243</v>
      </c>
      <c r="C34" s="8" t="s">
        <v>7</v>
      </c>
      <c r="D34" s="24" t="s">
        <v>244</v>
      </c>
    </row>
    <row r="35" customFormat="false" ht="20.25" hidden="false" customHeight="true" outlineLevel="0" collapsed="false">
      <c r="A35" s="27" t="s">
        <v>35</v>
      </c>
      <c r="B35" s="28" t="s">
        <v>245</v>
      </c>
      <c r="C35" s="8" t="s">
        <v>7</v>
      </c>
      <c r="D35" s="24"/>
    </row>
    <row r="36" customFormat="false" ht="20.25" hidden="false" customHeight="true" outlineLevel="0" collapsed="false">
      <c r="A36" s="27" t="s">
        <v>38</v>
      </c>
      <c r="B36" s="28" t="s">
        <v>246</v>
      </c>
      <c r="C36" s="24"/>
      <c r="D36" s="24"/>
    </row>
    <row r="37" customFormat="false" ht="20.25" hidden="false" customHeight="true" outlineLevel="0" collapsed="false">
      <c r="A37" s="27" t="s">
        <v>41</v>
      </c>
      <c r="B37" s="28" t="s">
        <v>247</v>
      </c>
      <c r="C37" s="24"/>
      <c r="D37" s="24"/>
    </row>
    <row r="38" customFormat="false" ht="20.25" hidden="false" customHeight="true" outlineLevel="0" collapsed="false">
      <c r="A38" s="27" t="s">
        <v>44</v>
      </c>
      <c r="B38" s="28" t="s">
        <v>248</v>
      </c>
      <c r="C38" s="8" t="s">
        <v>7</v>
      </c>
      <c r="D38" s="24" t="s">
        <v>249</v>
      </c>
    </row>
    <row r="39" customFormat="false" ht="20.25" hidden="false" customHeight="true" outlineLevel="0" collapsed="false">
      <c r="A39" s="27" t="s">
        <v>47</v>
      </c>
      <c r="B39" s="28" t="s">
        <v>250</v>
      </c>
      <c r="C39" s="8" t="s">
        <v>7</v>
      </c>
      <c r="D39" s="24" t="s">
        <v>251</v>
      </c>
    </row>
    <row r="40" customFormat="false" ht="20.25" hidden="false" customHeight="true" outlineLevel="0" collapsed="false">
      <c r="A40" s="27" t="s">
        <v>50</v>
      </c>
      <c r="B40" s="28" t="s">
        <v>252</v>
      </c>
      <c r="C40" s="8" t="s">
        <v>7</v>
      </c>
      <c r="D40" s="24" t="s">
        <v>253</v>
      </c>
    </row>
    <row r="41" customFormat="false" ht="41.25" hidden="false" customHeight="true" outlineLevel="0" collapsed="false">
      <c r="A41" s="27" t="s">
        <v>52</v>
      </c>
      <c r="B41" s="28" t="s">
        <v>254</v>
      </c>
      <c r="C41" s="8" t="s">
        <v>7</v>
      </c>
      <c r="D41" s="29" t="s">
        <v>255</v>
      </c>
    </row>
    <row r="42" customFormat="false" ht="20.25" hidden="false" customHeight="true" outlineLevel="0" collapsed="false">
      <c r="A42" s="19" t="s">
        <v>256</v>
      </c>
      <c r="B42" s="19"/>
      <c r="C42" s="19"/>
      <c r="D42" s="19"/>
    </row>
    <row r="43" customFormat="false" ht="20.25" hidden="false" customHeight="true" outlineLevel="0" collapsed="false">
      <c r="A43" s="26" t="s">
        <v>187</v>
      </c>
      <c r="B43" s="26" t="s">
        <v>188</v>
      </c>
      <c r="C43" s="4" t="s">
        <v>2</v>
      </c>
      <c r="D43" s="4" t="s">
        <v>3</v>
      </c>
    </row>
    <row r="44" customFormat="false" ht="20.25" hidden="false" customHeight="true" outlineLevel="0" collapsed="false">
      <c r="A44" s="27" t="s">
        <v>5</v>
      </c>
      <c r="B44" s="28" t="s">
        <v>257</v>
      </c>
      <c r="C44" s="8" t="s">
        <v>7</v>
      </c>
      <c r="D44" s="24" t="s">
        <v>258</v>
      </c>
    </row>
    <row r="45" customFormat="false" ht="20.25" hidden="false" customHeight="true" outlineLevel="0" collapsed="false">
      <c r="A45" s="27" t="s">
        <v>9</v>
      </c>
      <c r="B45" s="28" t="s">
        <v>259</v>
      </c>
      <c r="C45" s="8" t="s">
        <v>7</v>
      </c>
      <c r="D45" s="24" t="s">
        <v>260</v>
      </c>
    </row>
    <row r="46" customFormat="false" ht="20.25" hidden="false" customHeight="true" outlineLevel="0" collapsed="false">
      <c r="A46" s="27" t="s">
        <v>12</v>
      </c>
      <c r="B46" s="28" t="s">
        <v>261</v>
      </c>
      <c r="C46" s="8" t="s">
        <v>7</v>
      </c>
      <c r="D46" s="24" t="s">
        <v>262</v>
      </c>
    </row>
    <row r="47" customFormat="false" ht="20.25" hidden="false" customHeight="true" outlineLevel="0" collapsed="false">
      <c r="A47" s="27" t="s">
        <v>14</v>
      </c>
      <c r="B47" s="28" t="s">
        <v>263</v>
      </c>
      <c r="C47" s="24"/>
      <c r="D47" s="24"/>
    </row>
    <row r="48" customFormat="false" ht="20.25" hidden="false" customHeight="true" outlineLevel="0" collapsed="false">
      <c r="A48" s="27" t="s">
        <v>17</v>
      </c>
      <c r="B48" s="28" t="s">
        <v>264</v>
      </c>
      <c r="C48" s="24"/>
      <c r="D48" s="24"/>
    </row>
    <row r="49" customFormat="false" ht="20.25" hidden="false" customHeight="true" outlineLevel="0" collapsed="false">
      <c r="A49" s="27" t="s">
        <v>20</v>
      </c>
      <c r="B49" s="28" t="s">
        <v>265</v>
      </c>
      <c r="C49" s="24"/>
      <c r="D49" s="24"/>
    </row>
    <row r="50" customFormat="false" ht="20.25" hidden="false" customHeight="true" outlineLevel="0" collapsed="false">
      <c r="A50" s="27" t="s">
        <v>23</v>
      </c>
      <c r="B50" s="28" t="s">
        <v>266</v>
      </c>
      <c r="C50" s="24"/>
      <c r="D50" s="24"/>
    </row>
    <row r="51" customFormat="false" ht="20.25" hidden="false" customHeight="true" outlineLevel="0" collapsed="false">
      <c r="A51" s="27" t="s">
        <v>26</v>
      </c>
      <c r="B51" s="28" t="s">
        <v>267</v>
      </c>
      <c r="C51" s="24"/>
      <c r="D51" s="24"/>
    </row>
    <row r="52" customFormat="false" ht="20.25" hidden="false" customHeight="true" outlineLevel="0" collapsed="false">
      <c r="A52" s="27" t="s">
        <v>29</v>
      </c>
      <c r="B52" s="28" t="s">
        <v>268</v>
      </c>
      <c r="C52" s="8" t="s">
        <v>7</v>
      </c>
      <c r="D52" s="24" t="s">
        <v>269</v>
      </c>
    </row>
    <row r="53" customFormat="false" ht="20.25" hidden="false" customHeight="true" outlineLevel="0" collapsed="false">
      <c r="A53" s="27" t="s">
        <v>32</v>
      </c>
      <c r="B53" s="28" t="s">
        <v>270</v>
      </c>
      <c r="C53" s="24"/>
      <c r="D53" s="24"/>
    </row>
    <row r="54" customFormat="false" ht="20.25" hidden="false" customHeight="true" outlineLevel="0" collapsed="false">
      <c r="A54" s="27" t="s">
        <v>35</v>
      </c>
      <c r="B54" s="28" t="s">
        <v>271</v>
      </c>
      <c r="C54" s="24"/>
      <c r="D54" s="24"/>
    </row>
    <row r="55" customFormat="false" ht="20.25" hidden="false" customHeight="true" outlineLevel="0" collapsed="false">
      <c r="A55" s="27" t="s">
        <v>38</v>
      </c>
      <c r="B55" s="28" t="s">
        <v>272</v>
      </c>
      <c r="C55" s="24"/>
      <c r="D55" s="24"/>
    </row>
    <row r="56" customFormat="false" ht="20.25" hidden="false" customHeight="true" outlineLevel="0" collapsed="false">
      <c r="A56" s="27" t="s">
        <v>41</v>
      </c>
      <c r="B56" s="28" t="s">
        <v>273</v>
      </c>
      <c r="C56" s="8" t="s">
        <v>7</v>
      </c>
      <c r="D56" s="25" t="s">
        <v>274</v>
      </c>
    </row>
    <row r="57" customFormat="false" ht="20.25" hidden="false" customHeight="true" outlineLevel="0" collapsed="false">
      <c r="A57" s="27" t="s">
        <v>44</v>
      </c>
      <c r="B57" s="28" t="s">
        <v>275</v>
      </c>
      <c r="C57" s="8" t="s">
        <v>7</v>
      </c>
      <c r="D57" s="24" t="s">
        <v>276</v>
      </c>
    </row>
    <row r="58" customFormat="false" ht="20.25" hidden="false" customHeight="true" outlineLevel="0" collapsed="false">
      <c r="A58" s="27" t="s">
        <v>47</v>
      </c>
      <c r="B58" s="28" t="s">
        <v>277</v>
      </c>
      <c r="C58" s="8" t="s">
        <v>7</v>
      </c>
      <c r="D58" s="24" t="s">
        <v>278</v>
      </c>
    </row>
    <row r="59" customFormat="false" ht="20.25" hidden="false" customHeight="true" outlineLevel="0" collapsed="false">
      <c r="A59" s="27" t="s">
        <v>50</v>
      </c>
      <c r="B59" s="28" t="s">
        <v>279</v>
      </c>
      <c r="C59" s="24"/>
      <c r="D59" s="24"/>
    </row>
    <row r="60" customFormat="false" ht="20.25" hidden="false" customHeight="true" outlineLevel="0" collapsed="false">
      <c r="A60" s="27" t="s">
        <v>52</v>
      </c>
      <c r="B60" s="28" t="s">
        <v>280</v>
      </c>
      <c r="C60" s="24"/>
      <c r="D60" s="24"/>
    </row>
    <row r="61" customFormat="false" ht="20.25" hidden="false" customHeight="true" outlineLevel="0" collapsed="false">
      <c r="A61" s="27" t="s">
        <v>55</v>
      </c>
      <c r="B61" s="28" t="s">
        <v>281</v>
      </c>
      <c r="C61" s="24"/>
      <c r="D61" s="24"/>
    </row>
    <row r="63" customFormat="false" ht="21.75" hidden="false" customHeight="true" outlineLevel="0" collapsed="false">
      <c r="A63" s="30"/>
      <c r="B63" s="31" t="s">
        <v>282</v>
      </c>
      <c r="C63" s="31"/>
      <c r="D63" s="31"/>
    </row>
    <row r="64" customFormat="false" ht="18.75" hidden="false" customHeight="true" outlineLevel="0" collapsed="false">
      <c r="A64" s="30"/>
      <c r="B64" s="27" t="s">
        <v>275</v>
      </c>
      <c r="C64" s="27" t="s">
        <v>283</v>
      </c>
      <c r="D64" s="27" t="s">
        <v>284</v>
      </c>
    </row>
    <row r="65" customFormat="false" ht="18.75" hidden="false" customHeight="true" outlineLevel="0" collapsed="false">
      <c r="A65" s="30"/>
      <c r="B65" s="27" t="s">
        <v>285</v>
      </c>
      <c r="C65" s="27" t="s">
        <v>286</v>
      </c>
      <c r="D65" s="27" t="s">
        <v>287</v>
      </c>
    </row>
    <row r="66" customFormat="false" ht="18.75" hidden="false" customHeight="true" outlineLevel="0" collapsed="false">
      <c r="A66" s="30"/>
      <c r="B66" s="27" t="s">
        <v>288</v>
      </c>
      <c r="C66" s="27" t="s">
        <v>289</v>
      </c>
      <c r="D66" s="27" t="s">
        <v>290</v>
      </c>
    </row>
    <row r="67" customFormat="false" ht="18.75" hidden="false" customHeight="true" outlineLevel="0" collapsed="false">
      <c r="A67" s="30"/>
      <c r="B67" s="27" t="s">
        <v>291</v>
      </c>
      <c r="C67" s="27" t="s">
        <v>292</v>
      </c>
      <c r="D67" s="27" t="s">
        <v>293</v>
      </c>
    </row>
    <row r="1048576" customFormat="false" ht="12.75" hidden="false" customHeight="true" outlineLevel="0" collapsed="false"/>
  </sheetData>
  <mergeCells count="4">
    <mergeCell ref="A1:D1"/>
    <mergeCell ref="A22:D22"/>
    <mergeCell ref="A42:D42"/>
    <mergeCell ref="B63:D63"/>
  </mergeCells>
  <hyperlinks>
    <hyperlink ref="A1" r:id="rId1" display="2026暑假第一轮-数论与数学基础"/>
    <hyperlink ref="B3" r:id="rId2" display="拉格朗日插值1"/>
    <hyperlink ref="B4" r:id="rId3" display="拉格朗日插值2"/>
    <hyperlink ref="B5" r:id="rId4" display="拉格朗日插值3"/>
    <hyperlink ref="B6" r:id="rId5" display="min-max"/>
    <hyperlink ref="B7" r:id="rId6" display="min-max"/>
    <hyperlink ref="B8" r:id="rId7" display="三分/单峰函数"/>
    <hyperlink ref="B9" r:id="rId8" display="中国剩余定理（CRT）/ 曹冲养猪"/>
    <hyperlink ref="B10" r:id="rId9" display="BSGS / [TJOI2007] 可爱的质数"/>
    <hyperlink ref="B11" r:id="rId10" display="卢卡斯定理 / Lucas 定理"/>
    <hyperlink ref="B12" r:id="rId11" display="扩展中国剩余定理（EXCRT）"/>
    <hyperlink ref="B13" r:id="rId12" display="扩展欧拉定理"/>
    <hyperlink ref="B14" r:id="rId13" display="原根"/>
    <hyperlink ref="B15" r:id="rId14" display="扩展卢卡斯定理 / exLucas"/>
    <hyperlink ref="B16" r:id="rId15" display="莫反"/>
    <hyperlink ref="B17" r:id="rId16" display="莫反"/>
    <hyperlink ref="B18" r:id="rId17" display="莫反"/>
    <hyperlink ref="B19" r:id="rId18" display="凸包-闵可夫斯基和"/>
    <hyperlink ref="B20" r:id="rId19" display="Pollard-Rho"/>
    <hyperlink ref="B21" r:id="rId20" display="杜教筛"/>
    <hyperlink ref="A22" r:id="rId21" display="2026暑假第一轮-概率论和线性代数"/>
    <hyperlink ref="B24" r:id="rId22" display="概率与期望1"/>
    <hyperlink ref="B25" r:id="rId23" display="概率与期望2"/>
    <hyperlink ref="B26" r:id="rId24" display="概率与期望3"/>
    <hyperlink ref="B27" r:id="rId25" display="概率与期望4"/>
    <hyperlink ref="B28" r:id="rId26" display="高消"/>
    <hyperlink ref="B29" r:id="rId27" display="高消2"/>
    <hyperlink ref="B30" r:id="rId28" display="高消3"/>
    <hyperlink ref="B31" r:id="rId29" display="异或高消"/>
    <hyperlink ref="B32" r:id="rId30" display="异或高消2"/>
    <hyperlink ref="B33" r:id="rId31" display="行列式求值"/>
    <hyperlink ref="B34" r:id="rId32" display="矩阵求逆"/>
    <hyperlink ref="B35" r:id="rId33" display="Matrix-Tree 定理"/>
    <hyperlink ref="B36" r:id="rId34" display="BEST 定理 / Which Dreamed It"/>
    <hyperlink ref="B37" r:id="rId35" display="LGV"/>
    <hyperlink ref="B38" r:id="rId36" display="线性基"/>
    <hyperlink ref="B39" r:id="rId37" display="线性基2"/>
    <hyperlink ref="B40" r:id="rId38" display="线性基3"/>
    <hyperlink ref="B41" r:id="rId39" display="线性基4"/>
    <hyperlink ref="A42" r:id="rId40" display="2026暑假第一轮-博弈论、计算几何、多项式"/>
    <hyperlink ref="B44" r:id="rId41" display="Nim 游戏"/>
    <hyperlink ref="B45" r:id="rId42" display="SG函数"/>
    <hyperlink ref="B46" r:id="rId43" display="二维凸包 / [USACO5.1] 圈奶牛Fencing the Cows"/>
    <hyperlink ref="B47" r:id="rId44" display="旋转卡壳/最远点对"/>
    <hyperlink ref="B48" r:id="rId45" display="半平面交 / [CQOI2006] 凸多边形"/>
    <hyperlink ref="B49" r:id="rId46" display="生成函数1"/>
    <hyperlink ref="B50" r:id="rId47" display="生成函数2"/>
    <hyperlink ref="B51" r:id="rId48" display="生成函数3"/>
    <hyperlink ref="B52" r:id="rId49" display="多项式乘法（FFT）"/>
    <hyperlink ref="B53" r:id="rId50" display="多项式除法"/>
    <hyperlink ref="B54" r:id="rId51" display="多项式对数函数（多项式 ln）"/>
    <hyperlink ref="B55" r:id="rId52" display="多项式指数函数（多项式 exp）"/>
    <hyperlink ref="B56" r:id="rId53" display="子集卷积"/>
    <hyperlink ref="B57" r:id="rId54" display="高维前缀和"/>
    <hyperlink ref="B58" r:id="rId55" display="快速莫比乌斯 / 沃尔什变换 (FMT / FWT)"/>
    <hyperlink ref="B59" r:id="rId56" display="集合幂级数"/>
    <hyperlink ref="B60" r:id="rId57" display="二项式反演"/>
    <hyperlink ref="B61" r:id="rId58" display="卡常数"/>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7.89453125" defaultRowHeight="15" customHeight="false" zeroHeight="false" outlineLevelRow="0" outlineLevelCol="0"/>
  <cols>
    <col collapsed="false" customWidth="true" hidden="false" outlineLevel="0" max="1" min="1" style="1" width="8.45"/>
    <col collapsed="false" customWidth="true" hidden="false" outlineLevel="0" max="2" min="2" style="1" width="35.35"/>
    <col collapsed="false" customWidth="true" hidden="false" outlineLevel="0" max="3" min="3" style="1" width="15.99"/>
    <col collapsed="false" customWidth="true" hidden="false" outlineLevel="0" max="4" min="4" style="1" width="95.02"/>
    <col collapsed="false" customWidth="true" hidden="false" outlineLevel="0" max="24" min="5" style="1" width="12.34"/>
  </cols>
  <sheetData>
    <row r="1" customFormat="false" ht="20.25" hidden="false" customHeight="true" outlineLevel="0" collapsed="false">
      <c r="A1" s="19" t="s">
        <v>294</v>
      </c>
      <c r="B1" s="19"/>
      <c r="C1" s="19"/>
      <c r="D1" s="19"/>
    </row>
    <row r="2" customFormat="false" ht="20.25" hidden="false" customHeight="true" outlineLevel="0" collapsed="false">
      <c r="A2" s="26" t="s">
        <v>187</v>
      </c>
      <c r="B2" s="26" t="s">
        <v>188</v>
      </c>
      <c r="C2" s="4" t="s">
        <v>2</v>
      </c>
      <c r="D2" s="4" t="s">
        <v>3</v>
      </c>
    </row>
    <row r="3" customFormat="false" ht="20.25" hidden="false" customHeight="true" outlineLevel="0" collapsed="false">
      <c r="A3" s="27" t="s">
        <v>5</v>
      </c>
      <c r="B3" s="28" t="s">
        <v>295</v>
      </c>
      <c r="C3" s="8" t="s">
        <v>7</v>
      </c>
      <c r="D3" s="24" t="s">
        <v>296</v>
      </c>
    </row>
    <row r="4" customFormat="false" ht="20.25" hidden="false" customHeight="true" outlineLevel="0" collapsed="false">
      <c r="A4" s="27" t="s">
        <v>9</v>
      </c>
      <c r="B4" s="28" t="s">
        <v>297</v>
      </c>
      <c r="C4" s="8" t="s">
        <v>7</v>
      </c>
      <c r="D4" s="24" t="s">
        <v>298</v>
      </c>
    </row>
    <row r="5" customFormat="false" ht="20.25" hidden="false" customHeight="true" outlineLevel="0" collapsed="false">
      <c r="A5" s="27" t="s">
        <v>12</v>
      </c>
      <c r="B5" s="28" t="s">
        <v>299</v>
      </c>
      <c r="C5" s="8" t="s">
        <v>7</v>
      </c>
      <c r="D5" s="24" t="s">
        <v>300</v>
      </c>
    </row>
    <row r="6" customFormat="false" ht="20.25" hidden="false" customHeight="true" outlineLevel="0" collapsed="false">
      <c r="A6" s="27" t="s">
        <v>14</v>
      </c>
      <c r="B6" s="28" t="s">
        <v>301</v>
      </c>
      <c r="C6" s="8" t="s">
        <v>7</v>
      </c>
      <c r="D6" s="24" t="s">
        <v>302</v>
      </c>
    </row>
    <row r="7" customFormat="false" ht="20.25" hidden="false" customHeight="true" outlineLevel="0" collapsed="false">
      <c r="A7" s="27" t="s">
        <v>17</v>
      </c>
      <c r="B7" s="28" t="s">
        <v>303</v>
      </c>
      <c r="C7" s="24"/>
      <c r="D7" s="24"/>
    </row>
    <row r="8" customFormat="false" ht="20.25" hidden="false" customHeight="true" outlineLevel="0" collapsed="false">
      <c r="A8" s="27" t="s">
        <v>20</v>
      </c>
      <c r="B8" s="28" t="s">
        <v>304</v>
      </c>
      <c r="C8" s="8" t="s">
        <v>7</v>
      </c>
      <c r="D8" s="24" t="s">
        <v>298</v>
      </c>
    </row>
    <row r="9" customFormat="false" ht="20.25" hidden="false" customHeight="true" outlineLevel="0" collapsed="false">
      <c r="A9" s="27" t="s">
        <v>23</v>
      </c>
      <c r="B9" s="28" t="s">
        <v>305</v>
      </c>
      <c r="C9" s="8" t="s">
        <v>7</v>
      </c>
      <c r="D9" s="24" t="s">
        <v>306</v>
      </c>
    </row>
    <row r="10" customFormat="false" ht="20.25" hidden="false" customHeight="true" outlineLevel="0" collapsed="false">
      <c r="A10" s="27" t="s">
        <v>26</v>
      </c>
      <c r="B10" s="28" t="s">
        <v>307</v>
      </c>
      <c r="C10" s="8" t="s">
        <v>7</v>
      </c>
      <c r="D10" s="24" t="s">
        <v>308</v>
      </c>
    </row>
    <row r="11" customFormat="false" ht="20.25" hidden="false" customHeight="true" outlineLevel="0" collapsed="false">
      <c r="A11" s="27" t="s">
        <v>29</v>
      </c>
      <c r="B11" s="28" t="s">
        <v>309</v>
      </c>
      <c r="C11" s="8" t="s">
        <v>7</v>
      </c>
      <c r="D11" s="24" t="s">
        <v>310</v>
      </c>
    </row>
    <row r="12" customFormat="false" ht="20.25" hidden="false" customHeight="true" outlineLevel="0" collapsed="false">
      <c r="A12" s="27" t="s">
        <v>32</v>
      </c>
      <c r="B12" s="28" t="s">
        <v>311</v>
      </c>
      <c r="C12" s="24"/>
      <c r="D12" s="24"/>
    </row>
    <row r="13" customFormat="false" ht="20.25" hidden="false" customHeight="true" outlineLevel="0" collapsed="false">
      <c r="A13" s="27" t="s">
        <v>35</v>
      </c>
      <c r="B13" s="28" t="s">
        <v>312</v>
      </c>
      <c r="C13" s="24"/>
      <c r="D13" s="24"/>
    </row>
    <row r="14" customFormat="false" ht="20.25" hidden="false" customHeight="true" outlineLevel="0" collapsed="false">
      <c r="A14" s="27" t="s">
        <v>38</v>
      </c>
      <c r="B14" s="28" t="s">
        <v>313</v>
      </c>
      <c r="C14" s="8" t="s">
        <v>7</v>
      </c>
      <c r="D14" s="24" t="s">
        <v>314</v>
      </c>
    </row>
    <row r="15" customFormat="false" ht="20.25" hidden="false" customHeight="true" outlineLevel="0" collapsed="false">
      <c r="A15" s="27" t="s">
        <v>41</v>
      </c>
      <c r="B15" s="28" t="s">
        <v>315</v>
      </c>
      <c r="C15" s="24"/>
      <c r="D15" s="24"/>
    </row>
    <row r="16" customFormat="false" ht="27.75" hidden="false" customHeight="true" outlineLevel="0" collapsed="false">
      <c r="A16" s="27" t="s">
        <v>44</v>
      </c>
      <c r="B16" s="28" t="s">
        <v>246</v>
      </c>
      <c r="C16" s="24"/>
      <c r="D16" s="24"/>
    </row>
    <row r="17" customFormat="false" ht="20.25" hidden="false" customHeight="true" outlineLevel="0" collapsed="false">
      <c r="A17" s="27" t="s">
        <v>47</v>
      </c>
      <c r="B17" s="28" t="s">
        <v>316</v>
      </c>
      <c r="C17" s="24"/>
      <c r="D17" s="24"/>
    </row>
    <row r="18" customFormat="false" ht="20.25" hidden="false" customHeight="true" outlineLevel="0" collapsed="false">
      <c r="A18" s="27" t="s">
        <v>50</v>
      </c>
      <c r="B18" s="28" t="s">
        <v>317</v>
      </c>
      <c r="C18" s="24"/>
      <c r="D18" s="24"/>
    </row>
    <row r="19" customFormat="false" ht="20.25" hidden="false" customHeight="true" outlineLevel="0" collapsed="false">
      <c r="A19" s="27" t="s">
        <v>52</v>
      </c>
      <c r="B19" s="28" t="s">
        <v>318</v>
      </c>
      <c r="C19" s="24"/>
      <c r="D19" s="24"/>
    </row>
    <row r="20" customFormat="false" ht="20.25" hidden="false" customHeight="true" outlineLevel="0" collapsed="false">
      <c r="A20" s="27" t="s">
        <v>55</v>
      </c>
      <c r="B20" s="28" t="s">
        <v>319</v>
      </c>
      <c r="C20" s="24"/>
      <c r="D20" s="24"/>
    </row>
    <row r="21" customFormat="false" ht="27.75" hidden="false" customHeight="true" outlineLevel="0" collapsed="false">
      <c r="A21" s="27" t="s">
        <v>57</v>
      </c>
      <c r="B21" s="28" t="s">
        <v>320</v>
      </c>
      <c r="C21" s="24"/>
      <c r="D21" s="24"/>
    </row>
    <row r="22" customFormat="false" ht="20.25" hidden="false" customHeight="true" outlineLevel="0" collapsed="false">
      <c r="A22" s="27" t="s">
        <v>59</v>
      </c>
      <c r="B22" s="28" t="s">
        <v>321</v>
      </c>
      <c r="C22" s="8" t="s">
        <v>7</v>
      </c>
      <c r="D22" s="24" t="s">
        <v>322</v>
      </c>
    </row>
    <row r="23" customFormat="false" ht="38.25" hidden="false" customHeight="true" outlineLevel="0" collapsed="false">
      <c r="A23" s="27" t="s">
        <v>62</v>
      </c>
      <c r="B23" s="28" t="s">
        <v>323</v>
      </c>
      <c r="C23" s="8" t="s">
        <v>7</v>
      </c>
      <c r="D23" s="29" t="s">
        <v>324</v>
      </c>
    </row>
    <row r="24" customFormat="false" ht="20.25" hidden="false" customHeight="true" outlineLevel="0" collapsed="false">
      <c r="A24" s="27" t="s">
        <v>64</v>
      </c>
      <c r="B24" s="28" t="s">
        <v>325</v>
      </c>
      <c r="C24" s="24"/>
      <c r="D24" s="24"/>
    </row>
    <row r="25" customFormat="false" ht="20.25" hidden="false" customHeight="true" outlineLevel="0" collapsed="false">
      <c r="A25" s="27" t="s">
        <v>67</v>
      </c>
      <c r="B25" s="28" t="s">
        <v>326</v>
      </c>
      <c r="C25" s="24"/>
      <c r="D25" s="24"/>
    </row>
    <row r="26" customFormat="false" ht="20.25" hidden="false" customHeight="true" outlineLevel="0" collapsed="false">
      <c r="A26" s="27" t="s">
        <v>327</v>
      </c>
      <c r="B26" s="28" t="s">
        <v>328</v>
      </c>
      <c r="C26" s="24"/>
      <c r="D26" s="24"/>
    </row>
    <row r="27" customFormat="false" ht="20.25" hidden="false" customHeight="true" outlineLevel="0" collapsed="false">
      <c r="A27" s="27" t="s">
        <v>72</v>
      </c>
      <c r="B27" s="28" t="s">
        <v>329</v>
      </c>
      <c r="C27" s="24"/>
      <c r="D27" s="24"/>
    </row>
    <row r="28" customFormat="false" ht="20.25" hidden="false" customHeight="true" outlineLevel="0" collapsed="false">
      <c r="A28" s="27" t="s">
        <v>75</v>
      </c>
      <c r="B28" s="28" t="s">
        <v>330</v>
      </c>
      <c r="C28" s="24"/>
      <c r="D28" s="24"/>
    </row>
    <row r="29" customFormat="false" ht="20.25" hidden="false" customHeight="true" outlineLevel="0" collapsed="false">
      <c r="A29" s="27" t="s">
        <v>78</v>
      </c>
      <c r="B29" s="28" t="s">
        <v>331</v>
      </c>
      <c r="C29" s="8" t="s">
        <v>7</v>
      </c>
      <c r="D29" s="24" t="s">
        <v>332</v>
      </c>
    </row>
    <row r="30" customFormat="false" ht="20.25" hidden="false" customHeight="true" outlineLevel="0" collapsed="false">
      <c r="A30" s="27" t="s">
        <v>81</v>
      </c>
      <c r="B30" s="28" t="s">
        <v>333</v>
      </c>
      <c r="C30" s="8" t="s">
        <v>7</v>
      </c>
      <c r="D30" s="24" t="s">
        <v>334</v>
      </c>
    </row>
    <row r="31" customFormat="false" ht="20.25" hidden="false" customHeight="true" outlineLevel="0" collapsed="false">
      <c r="A31" s="27" t="s">
        <v>7</v>
      </c>
      <c r="B31" s="28" t="s">
        <v>335</v>
      </c>
      <c r="C31" s="8" t="s">
        <v>7</v>
      </c>
      <c r="D31" s="24" t="s">
        <v>336</v>
      </c>
    </row>
    <row r="32" customFormat="false" ht="20.25" hidden="false" customHeight="true" outlineLevel="0" collapsed="false">
      <c r="A32" s="27" t="s">
        <v>337</v>
      </c>
      <c r="B32" s="28" t="s">
        <v>338</v>
      </c>
      <c r="C32" s="8" t="s">
        <v>7</v>
      </c>
      <c r="D32" s="24" t="s">
        <v>339</v>
      </c>
    </row>
    <row r="33" customFormat="false" ht="20.25" hidden="false" customHeight="true" outlineLevel="0" collapsed="false">
      <c r="A33" s="27" t="s">
        <v>340</v>
      </c>
      <c r="B33" s="28" t="s">
        <v>341</v>
      </c>
      <c r="C33" s="24"/>
      <c r="D33" s="24"/>
    </row>
    <row r="34" customFormat="false" ht="20.25" hidden="false" customHeight="true" outlineLevel="0" collapsed="false">
      <c r="A34" s="19" t="s">
        <v>342</v>
      </c>
      <c r="B34" s="19"/>
      <c r="C34" s="19"/>
      <c r="D34" s="19"/>
    </row>
    <row r="35" customFormat="false" ht="20.25" hidden="false" customHeight="true" outlineLevel="0" collapsed="false">
      <c r="A35" s="26" t="s">
        <v>187</v>
      </c>
      <c r="B35" s="26" t="s">
        <v>188</v>
      </c>
      <c r="C35" s="4" t="s">
        <v>2</v>
      </c>
      <c r="D35" s="4" t="s">
        <v>3</v>
      </c>
    </row>
    <row r="36" customFormat="false" ht="20.25" hidden="false" customHeight="true" outlineLevel="0" collapsed="false">
      <c r="A36" s="27" t="s">
        <v>5</v>
      </c>
      <c r="B36" s="28" t="s">
        <v>343</v>
      </c>
      <c r="C36" s="24"/>
      <c r="D36" s="24"/>
    </row>
    <row r="37" customFormat="false" ht="20.25" hidden="false" customHeight="true" outlineLevel="0" collapsed="false">
      <c r="A37" s="27" t="s">
        <v>9</v>
      </c>
      <c r="B37" s="28" t="s">
        <v>344</v>
      </c>
      <c r="C37" s="8" t="s">
        <v>7</v>
      </c>
      <c r="D37" s="24" t="s">
        <v>345</v>
      </c>
    </row>
    <row r="38" customFormat="false" ht="20.25" hidden="false" customHeight="true" outlineLevel="0" collapsed="false">
      <c r="A38" s="27" t="s">
        <v>12</v>
      </c>
      <c r="B38" s="28" t="s">
        <v>346</v>
      </c>
      <c r="C38" s="24"/>
      <c r="D38" s="24"/>
    </row>
    <row r="39" customFormat="false" ht="20.25" hidden="false" customHeight="true" outlineLevel="0" collapsed="false">
      <c r="A39" s="27" t="s">
        <v>14</v>
      </c>
      <c r="B39" s="28" t="s">
        <v>347</v>
      </c>
      <c r="C39" s="8" t="s">
        <v>7</v>
      </c>
      <c r="D39" s="24" t="s">
        <v>348</v>
      </c>
    </row>
    <row r="40" customFormat="false" ht="20.25" hidden="false" customHeight="true" outlineLevel="0" collapsed="false">
      <c r="A40" s="27" t="s">
        <v>17</v>
      </c>
      <c r="B40" s="28" t="s">
        <v>349</v>
      </c>
      <c r="C40" s="8" t="s">
        <v>7</v>
      </c>
      <c r="D40" s="24" t="s">
        <v>350</v>
      </c>
    </row>
    <row r="41" customFormat="false" ht="20.25" hidden="false" customHeight="true" outlineLevel="0" collapsed="false">
      <c r="A41" s="27" t="s">
        <v>20</v>
      </c>
      <c r="B41" s="28" t="s">
        <v>351</v>
      </c>
      <c r="C41" s="8" t="s">
        <v>7</v>
      </c>
      <c r="D41" s="24" t="s">
        <v>352</v>
      </c>
    </row>
    <row r="42" customFormat="false" ht="20.25" hidden="false" customHeight="true" outlineLevel="0" collapsed="false">
      <c r="A42" s="27" t="s">
        <v>23</v>
      </c>
      <c r="B42" s="28" t="s">
        <v>353</v>
      </c>
      <c r="C42" s="8" t="s">
        <v>7</v>
      </c>
      <c r="D42" s="24" t="s">
        <v>354</v>
      </c>
    </row>
    <row r="43" customFormat="false" ht="20.25" hidden="false" customHeight="true" outlineLevel="0" collapsed="false">
      <c r="A43" s="27" t="s">
        <v>26</v>
      </c>
      <c r="B43" s="28" t="s">
        <v>355</v>
      </c>
      <c r="C43" s="24"/>
      <c r="D43" s="24"/>
    </row>
    <row r="44" customFormat="false" ht="20.25" hidden="false" customHeight="true" outlineLevel="0" collapsed="false">
      <c r="A44" s="27" t="s">
        <v>29</v>
      </c>
      <c r="B44" s="28" t="s">
        <v>356</v>
      </c>
      <c r="C44" s="24"/>
      <c r="D44" s="24"/>
    </row>
    <row r="45" customFormat="false" ht="20.25" hidden="false" customHeight="true" outlineLevel="0" collapsed="false">
      <c r="A45" s="27" t="s">
        <v>32</v>
      </c>
      <c r="B45" s="28" t="s">
        <v>357</v>
      </c>
      <c r="C45" s="24"/>
      <c r="D45" s="24"/>
    </row>
    <row r="46" customFormat="false" ht="20.25" hidden="false" customHeight="true" outlineLevel="0" collapsed="false">
      <c r="A46" s="27" t="s">
        <v>35</v>
      </c>
      <c r="B46" s="28" t="s">
        <v>358</v>
      </c>
      <c r="C46" s="8" t="s">
        <v>7</v>
      </c>
      <c r="D46" s="24" t="s">
        <v>359</v>
      </c>
    </row>
    <row r="47" customFormat="false" ht="20.25" hidden="false" customHeight="true" outlineLevel="0" collapsed="false">
      <c r="A47" s="27" t="s">
        <v>38</v>
      </c>
      <c r="B47" s="28" t="s">
        <v>360</v>
      </c>
      <c r="C47" s="24"/>
      <c r="D47" s="24"/>
    </row>
    <row r="48" customFormat="false" ht="20.25" hidden="false" customHeight="true" outlineLevel="0" collapsed="false">
      <c r="A48" s="27" t="s">
        <v>41</v>
      </c>
      <c r="B48" s="28" t="s">
        <v>361</v>
      </c>
      <c r="C48" s="8" t="s">
        <v>7</v>
      </c>
      <c r="D48" s="24" t="s">
        <v>362</v>
      </c>
    </row>
    <row r="49" customFormat="false" ht="20.25" hidden="false" customHeight="true" outlineLevel="0" collapsed="false">
      <c r="A49" s="27" t="s">
        <v>44</v>
      </c>
      <c r="B49" s="28" t="s">
        <v>363</v>
      </c>
      <c r="C49" s="24"/>
      <c r="D49" s="24"/>
    </row>
    <row r="50" customFormat="false" ht="20.25" hidden="false" customHeight="true" outlineLevel="0" collapsed="false">
      <c r="A50" s="27" t="s">
        <v>47</v>
      </c>
      <c r="B50" s="28" t="s">
        <v>364</v>
      </c>
      <c r="C50" s="8" t="s">
        <v>7</v>
      </c>
      <c r="D50" s="24" t="s">
        <v>365</v>
      </c>
    </row>
    <row r="51" customFormat="false" ht="20.25" hidden="false" customHeight="true" outlineLevel="0" collapsed="false">
      <c r="A51" s="27" t="s">
        <v>50</v>
      </c>
      <c r="B51" s="28" t="s">
        <v>366</v>
      </c>
      <c r="C51" s="8" t="s">
        <v>7</v>
      </c>
      <c r="D51" s="24" t="s">
        <v>367</v>
      </c>
    </row>
  </sheetData>
  <mergeCells count="2">
    <mergeCell ref="A1:D1"/>
    <mergeCell ref="A34:D34"/>
  </mergeCells>
  <hyperlinks>
    <hyperlink ref="A1" r:id="rId1" display="阶段34线性代数"/>
    <hyperlink ref="B3" r:id="rId2" display="Matrix Power Series"/>
    <hyperlink ref="B4" r:id="rId3" display="化学方程式配平"/>
    <hyperlink ref="B5" r:id="rId4" display="游走"/>
    <hyperlink ref="B6" r:id="rId5" display="治疗之雨"/>
    <hyperlink ref="B7" r:id="rId6" display="硬币游戏"/>
    <hyperlink ref="B8" r:id="rId7" display="随机游走"/>
    <hyperlink ref="B9" r:id="rId8" display="路径交点"/>
    <hyperlink ref="B10" r:id="rId9" display="小 Z 的房间"/>
    <hyperlink ref="B11" r:id="rId10" display="重建"/>
    <hyperlink ref="B12" r:id="rId11" display="作业题"/>
    <hyperlink ref="B13" r:id="rId12" display="生成树计数"/>
    <hyperlink ref="B14" r:id="rId13" display="黑暗前的幻想乡"/>
    <hyperlink ref="B15" r:id="rId14" display="最小生成树计数"/>
    <hyperlink ref="B16" r:id="rId15" display="BEST 定理 / Which Dreamed It"/>
    <hyperlink ref="B17" r:id="rId16" display="Routing Schemes P"/>
    <hyperlink ref="B18" r:id="rId17" display="16 Integers"/>
    <hyperlink ref="B19" r:id="rId18" display="最大流"/>
    <hyperlink ref="B20" r:id="rId19" display="Now or Never"/>
    <hyperlink ref="B21" r:id="rId20" display="Range Xor Subsequence Query"/>
    <hyperlink ref="B22" r:id="rId21" display="XOR and Even"/>
    <hyperlink ref="B23" r:id="rId22" display="TEST_34"/>
    <hyperlink ref="B24" r:id="rId23" display="圣剑护符"/>
    <hyperlink ref="B25" r:id="rId24" display="Fiolki 2"/>
    <hyperlink ref="B26" r:id="rId25" display="旅行路线"/>
    <hyperlink ref="B27" r:id="rId26" display="LGV 引理"/>
    <hyperlink ref="B28" r:id="rId27" display="Turtles"/>
    <hyperlink ref="B29" r:id="rId28" display="序列计数"/>
    <hyperlink ref="B30" r:id="rId29" display="数学作业"/>
    <hyperlink ref="B31" r:id="rId30" display="魔法值"/>
    <hyperlink ref="B32" r:id="rId31" display="专心OI - 跳房子"/>
    <hyperlink ref="B33" r:id="rId32" display="Asterism Stream"/>
    <hyperlink ref="A34" r:id="rId33" display="阶段5容斥及反演"/>
    <hyperlink ref="B36" r:id="rId34" display="小星星"/>
    <hyperlink ref="B37" r:id="rId35" display="员工招聘"/>
    <hyperlink ref="B38" r:id="rId36" display="卡牌"/>
    <hyperlink ref="B39" r:id="rId37" display="排列计数"/>
    <hyperlink ref="B40" r:id="rId38" display="已经没有什么好害怕的了"/>
    <hyperlink ref="B41" r:id="rId39" display="pin (day2)"/>
    <hyperlink ref="B42" r:id="rId40" display="染色问题"/>
    <hyperlink ref="B43" r:id="rId41" display="游戏"/>
    <hyperlink ref="B44" r:id="rId42" display="Crash 的文明世界"/>
    <hyperlink ref="B45" r:id="rId43" display="Bags with Balls"/>
    <hyperlink ref="B46" r:id="rId44" display="按位或"/>
    <hyperlink ref="B47" r:id="rId45" display="重返现世"/>
    <hyperlink ref="B48" r:id="rId46" display="Card Collector"/>
    <hyperlink ref="B49" r:id="rId47" display="计算"/>
    <hyperlink ref="B50" r:id="rId48" display="Vladik and Entertaining Flags"/>
    <hyperlink ref="B51" r:id="rId49" display="Double Sum 3"/>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7"/>
  <sheetViews>
    <sheetView showFormulas="false" showGridLines="true" showRowColHeaders="true" showZeros="true" rightToLeft="false" tabSelected="false" showOutlineSymbols="true" defaultGridColor="true" view="normal" topLeftCell="A4" colorId="64" zoomScale="110" zoomScaleNormal="110" zoomScalePageLayoutView="100" workbookViewId="0">
      <selection pane="topLeft" activeCell="D15" activeCellId="0" sqref="D15"/>
    </sheetView>
  </sheetViews>
  <sheetFormatPr defaultColWidth="7.89453125" defaultRowHeight="15" customHeight="false" zeroHeight="false" outlineLevelRow="0" outlineLevelCol="0"/>
  <cols>
    <col collapsed="false" customWidth="true" hidden="false" outlineLevel="0" max="2" min="1" style="1" width="8.45"/>
    <col collapsed="false" customWidth="true" hidden="false" outlineLevel="0" max="3" min="3" style="1" width="38.34"/>
    <col collapsed="false" customWidth="true" hidden="false" outlineLevel="0" max="4" min="4" style="1" width="17.8"/>
    <col collapsed="false" customWidth="true" hidden="false" outlineLevel="0" max="5" min="5" style="1" width="38.34"/>
    <col collapsed="false" customWidth="true" hidden="false" outlineLevel="0" max="24" min="6" style="1" width="12.34"/>
  </cols>
  <sheetData>
    <row r="1" customFormat="false" ht="20.25" hidden="false" customHeight="true" outlineLevel="0" collapsed="false">
      <c r="A1" s="24"/>
      <c r="B1" s="32"/>
      <c r="C1" s="33" t="s">
        <v>188</v>
      </c>
      <c r="D1" s="24" t="s">
        <v>2</v>
      </c>
      <c r="E1" s="24" t="s">
        <v>3</v>
      </c>
    </row>
    <row r="2" customFormat="false" ht="20.25" hidden="false" customHeight="true" outlineLevel="0" collapsed="false">
      <c r="A2" s="34" t="s">
        <v>368</v>
      </c>
      <c r="B2" s="34"/>
      <c r="C2" s="34"/>
      <c r="D2" s="34"/>
      <c r="E2" s="34"/>
    </row>
    <row r="3" customFormat="false" ht="20.25" hidden="false" customHeight="true" outlineLevel="0" collapsed="false">
      <c r="A3" s="24" t="n">
        <f aca="false">ROW()-2</f>
        <v>1</v>
      </c>
      <c r="B3" s="32" t="s">
        <v>5</v>
      </c>
      <c r="C3" s="35" t="s">
        <v>369</v>
      </c>
      <c r="D3" s="24"/>
      <c r="E3" s="24"/>
    </row>
    <row r="4" customFormat="false" ht="20.25" hidden="false" customHeight="true" outlineLevel="0" collapsed="false">
      <c r="A4" s="24" t="n">
        <f aca="false">ROW()-2</f>
        <v>2</v>
      </c>
      <c r="B4" s="32" t="s">
        <v>9</v>
      </c>
      <c r="C4" s="35" t="s">
        <v>370</v>
      </c>
      <c r="D4" s="24"/>
      <c r="E4" s="24"/>
    </row>
    <row r="5" customFormat="false" ht="20.25" hidden="false" customHeight="true" outlineLevel="0" collapsed="false">
      <c r="A5" s="24" t="n">
        <f aca="false">ROW()-2</f>
        <v>3</v>
      </c>
      <c r="B5" s="32" t="s">
        <v>12</v>
      </c>
      <c r="C5" s="35" t="s">
        <v>371</v>
      </c>
      <c r="D5" s="24"/>
      <c r="E5" s="24"/>
    </row>
    <row r="6" customFormat="false" ht="20.25" hidden="false" customHeight="true" outlineLevel="0" collapsed="false">
      <c r="A6" s="24" t="n">
        <f aca="false">ROW()-2</f>
        <v>4</v>
      </c>
      <c r="B6" s="32" t="s">
        <v>14</v>
      </c>
      <c r="C6" s="35" t="s">
        <v>372</v>
      </c>
      <c r="D6" s="24"/>
      <c r="E6" s="24"/>
    </row>
    <row r="7" customFormat="false" ht="20.25" hidden="false" customHeight="true" outlineLevel="0" collapsed="false">
      <c r="A7" s="24" t="n">
        <f aca="false">ROW()-2</f>
        <v>5</v>
      </c>
      <c r="B7" s="32" t="s">
        <v>17</v>
      </c>
      <c r="C7" s="35" t="s">
        <v>373</v>
      </c>
      <c r="D7" s="24"/>
      <c r="E7" s="24"/>
    </row>
    <row r="8" customFormat="false" ht="20.25" hidden="false" customHeight="true" outlineLevel="0" collapsed="false">
      <c r="A8" s="24" t="n">
        <f aca="false">ROW()-2</f>
        <v>6</v>
      </c>
      <c r="B8" s="32" t="s">
        <v>20</v>
      </c>
      <c r="C8" s="35" t="s">
        <v>374</v>
      </c>
      <c r="D8" s="24"/>
      <c r="E8" s="24"/>
    </row>
    <row r="9" customFormat="false" ht="20.25" hidden="false" customHeight="true" outlineLevel="0" collapsed="false">
      <c r="A9" s="24" t="n">
        <f aca="false">ROW()-2</f>
        <v>7</v>
      </c>
      <c r="B9" s="32" t="s">
        <v>23</v>
      </c>
      <c r="C9" s="35" t="s">
        <v>375</v>
      </c>
      <c r="D9" s="24"/>
      <c r="E9" s="24"/>
    </row>
    <row r="10" customFormat="false" ht="20.25" hidden="false" customHeight="true" outlineLevel="0" collapsed="false">
      <c r="A10" s="24" t="n">
        <f aca="false">ROW()-2</f>
        <v>8</v>
      </c>
      <c r="B10" s="32" t="s">
        <v>26</v>
      </c>
      <c r="C10" s="35" t="s">
        <v>376</v>
      </c>
      <c r="D10" s="24"/>
      <c r="E10" s="24"/>
    </row>
    <row r="11" customFormat="false" ht="20.25" hidden="false" customHeight="true" outlineLevel="0" collapsed="false">
      <c r="A11" s="24" t="n">
        <f aca="false">ROW()-2</f>
        <v>9</v>
      </c>
      <c r="B11" s="32" t="s">
        <v>29</v>
      </c>
      <c r="C11" s="35" t="s">
        <v>377</v>
      </c>
      <c r="D11" s="24"/>
      <c r="E11" s="24"/>
    </row>
    <row r="12" customFormat="false" ht="20.25" hidden="false" customHeight="true" outlineLevel="0" collapsed="false">
      <c r="A12" s="24" t="n">
        <f aca="false">ROW()-2</f>
        <v>10</v>
      </c>
      <c r="B12" s="32" t="s">
        <v>32</v>
      </c>
      <c r="C12" s="35" t="s">
        <v>378</v>
      </c>
      <c r="D12" s="24"/>
      <c r="E12" s="24"/>
    </row>
    <row r="13" customFormat="false" ht="20.25" hidden="false" customHeight="true" outlineLevel="0" collapsed="false">
      <c r="A13" s="24" t="n">
        <f aca="false">ROW()-2</f>
        <v>11</v>
      </c>
      <c r="B13" s="32" t="s">
        <v>35</v>
      </c>
      <c r="C13" s="35" t="s">
        <v>379</v>
      </c>
      <c r="D13" s="24"/>
      <c r="E13" s="24"/>
    </row>
    <row r="14" customFormat="false" ht="20.25" hidden="false" customHeight="true" outlineLevel="0" collapsed="false">
      <c r="A14" s="24" t="n">
        <f aca="false">ROW()-2</f>
        <v>12</v>
      </c>
      <c r="B14" s="32" t="s">
        <v>38</v>
      </c>
      <c r="C14" s="35" t="s">
        <v>380</v>
      </c>
      <c r="D14" s="24"/>
      <c r="E14" s="24"/>
    </row>
    <row r="15" customFormat="false" ht="20.25" hidden="false" customHeight="true" outlineLevel="0" collapsed="false">
      <c r="A15" s="24" t="n">
        <f aca="false">ROW()-2</f>
        <v>13</v>
      </c>
      <c r="B15" s="32" t="s">
        <v>41</v>
      </c>
      <c r="C15" s="35" t="s">
        <v>381</v>
      </c>
      <c r="D15" s="24"/>
      <c r="E15" s="24"/>
    </row>
    <row r="16" customFormat="false" ht="20.25" hidden="false" customHeight="true" outlineLevel="0" collapsed="false">
      <c r="A16" s="24" t="n">
        <f aca="false">ROW()-2</f>
        <v>14</v>
      </c>
      <c r="B16" s="32" t="s">
        <v>44</v>
      </c>
      <c r="C16" s="35" t="s">
        <v>382</v>
      </c>
      <c r="D16" s="24"/>
      <c r="E16" s="24"/>
    </row>
    <row r="17" customFormat="false" ht="20.25" hidden="false" customHeight="true" outlineLevel="0" collapsed="false">
      <c r="A17" s="24" t="n">
        <f aca="false">ROW()-2</f>
        <v>15</v>
      </c>
      <c r="B17" s="32" t="s">
        <v>47</v>
      </c>
      <c r="C17" s="35" t="s">
        <v>383</v>
      </c>
      <c r="D17" s="24"/>
      <c r="E17" s="24"/>
    </row>
    <row r="18" customFormat="false" ht="20.25" hidden="false" customHeight="true" outlineLevel="0" collapsed="false">
      <c r="A18" s="24" t="n">
        <f aca="false">ROW()-2</f>
        <v>16</v>
      </c>
      <c r="B18" s="32" t="s">
        <v>50</v>
      </c>
      <c r="C18" s="35" t="s">
        <v>384</v>
      </c>
      <c r="D18" s="24"/>
      <c r="E18" s="24"/>
    </row>
    <row r="19" customFormat="false" ht="20.25" hidden="false" customHeight="true" outlineLevel="0" collapsed="false">
      <c r="A19" s="24" t="n">
        <f aca="false">ROW()-2</f>
        <v>17</v>
      </c>
      <c r="B19" s="32" t="s">
        <v>52</v>
      </c>
      <c r="C19" s="35" t="s">
        <v>385</v>
      </c>
      <c r="D19" s="24"/>
      <c r="E19" s="24"/>
    </row>
    <row r="20" customFormat="false" ht="20.25" hidden="false" customHeight="true" outlineLevel="0" collapsed="false">
      <c r="A20" s="24" t="n">
        <f aca="false">ROW()-2</f>
        <v>18</v>
      </c>
      <c r="B20" s="32" t="s">
        <v>55</v>
      </c>
      <c r="C20" s="35" t="s">
        <v>386</v>
      </c>
      <c r="D20" s="24"/>
      <c r="E20" s="24"/>
    </row>
    <row r="21" customFormat="false" ht="20.25" hidden="false" customHeight="true" outlineLevel="0" collapsed="false">
      <c r="A21" s="24" t="n">
        <f aca="false">ROW()-2</f>
        <v>19</v>
      </c>
      <c r="B21" s="32" t="s">
        <v>57</v>
      </c>
      <c r="C21" s="35" t="s">
        <v>387</v>
      </c>
      <c r="D21" s="24"/>
      <c r="E21" s="24"/>
    </row>
    <row r="22" customFormat="false" ht="20.25" hidden="false" customHeight="true" outlineLevel="0" collapsed="false">
      <c r="A22" s="34" t="s">
        <v>388</v>
      </c>
      <c r="B22" s="34"/>
      <c r="C22" s="34"/>
      <c r="D22" s="34"/>
      <c r="E22" s="34"/>
    </row>
    <row r="23" customFormat="false" ht="20.25" hidden="false" customHeight="true" outlineLevel="0" collapsed="false">
      <c r="A23" s="24" t="n">
        <f aca="false">ROW()-3</f>
        <v>20</v>
      </c>
      <c r="B23" s="32" t="s">
        <v>5</v>
      </c>
      <c r="C23" s="35" t="s">
        <v>389</v>
      </c>
      <c r="D23" s="24"/>
      <c r="E23" s="24"/>
    </row>
    <row r="24" customFormat="false" ht="20.25" hidden="false" customHeight="true" outlineLevel="0" collapsed="false">
      <c r="A24" s="24" t="n">
        <f aca="false">ROW()-3</f>
        <v>21</v>
      </c>
      <c r="B24" s="32" t="s">
        <v>9</v>
      </c>
      <c r="C24" s="35" t="s">
        <v>390</v>
      </c>
      <c r="D24" s="24"/>
      <c r="E24" s="24"/>
    </row>
    <row r="25" customFormat="false" ht="20.25" hidden="false" customHeight="true" outlineLevel="0" collapsed="false">
      <c r="A25" s="24" t="n">
        <f aca="false">ROW()-3</f>
        <v>22</v>
      </c>
      <c r="B25" s="32" t="s">
        <v>12</v>
      </c>
      <c r="C25" s="35" t="s">
        <v>391</v>
      </c>
      <c r="D25" s="24"/>
      <c r="E25" s="24"/>
    </row>
    <row r="26" customFormat="false" ht="20.25" hidden="false" customHeight="true" outlineLevel="0" collapsed="false">
      <c r="A26" s="24" t="n">
        <f aca="false">ROW()-3</f>
        <v>23</v>
      </c>
      <c r="B26" s="32" t="s">
        <v>14</v>
      </c>
      <c r="C26" s="35" t="s">
        <v>392</v>
      </c>
      <c r="D26" s="24"/>
      <c r="E26" s="24"/>
    </row>
    <row r="27" customFormat="false" ht="20.25" hidden="false" customHeight="true" outlineLevel="0" collapsed="false">
      <c r="A27" s="24" t="n">
        <f aca="false">ROW()-3</f>
        <v>24</v>
      </c>
      <c r="B27" s="32" t="s">
        <v>17</v>
      </c>
      <c r="C27" s="35" t="s">
        <v>393</v>
      </c>
      <c r="D27" s="24"/>
      <c r="E27" s="24"/>
    </row>
    <row r="28" customFormat="false" ht="20.25" hidden="false" customHeight="true" outlineLevel="0" collapsed="false">
      <c r="A28" s="24" t="n">
        <f aca="false">ROW()-3</f>
        <v>25</v>
      </c>
      <c r="B28" s="32" t="s">
        <v>20</v>
      </c>
      <c r="C28" s="35" t="s">
        <v>394</v>
      </c>
      <c r="D28" s="24"/>
      <c r="E28" s="24"/>
    </row>
    <row r="29" customFormat="false" ht="20.25" hidden="false" customHeight="true" outlineLevel="0" collapsed="false">
      <c r="A29" s="24" t="n">
        <f aca="false">ROW()-3</f>
        <v>26</v>
      </c>
      <c r="B29" s="32" t="s">
        <v>23</v>
      </c>
      <c r="C29" s="35" t="s">
        <v>395</v>
      </c>
      <c r="D29" s="24"/>
      <c r="E29" s="24"/>
    </row>
    <row r="30" customFormat="false" ht="20.25" hidden="false" customHeight="true" outlineLevel="0" collapsed="false">
      <c r="A30" s="24" t="n">
        <f aca="false">ROW()-3</f>
        <v>27</v>
      </c>
      <c r="B30" s="32" t="s">
        <v>26</v>
      </c>
      <c r="C30" s="35" t="s">
        <v>191</v>
      </c>
      <c r="D30" s="24"/>
      <c r="E30" s="24"/>
    </row>
    <row r="31" customFormat="false" ht="20.25" hidden="false" customHeight="true" outlineLevel="0" collapsed="false">
      <c r="A31" s="24" t="n">
        <f aca="false">ROW()-3</f>
        <v>28</v>
      </c>
      <c r="B31" s="32" t="s">
        <v>29</v>
      </c>
      <c r="C31" s="35" t="s">
        <v>396</v>
      </c>
      <c r="D31" s="24"/>
      <c r="E31" s="24"/>
    </row>
    <row r="32" customFormat="false" ht="20.25" hidden="false" customHeight="true" outlineLevel="0" collapsed="false">
      <c r="A32" s="24" t="n">
        <f aca="false">ROW()-3</f>
        <v>29</v>
      </c>
      <c r="B32" s="32" t="s">
        <v>32</v>
      </c>
      <c r="C32" s="35" t="s">
        <v>397</v>
      </c>
      <c r="D32" s="24"/>
      <c r="E32" s="24"/>
    </row>
    <row r="33" customFormat="false" ht="20.25" hidden="false" customHeight="true" outlineLevel="0" collapsed="false">
      <c r="A33" s="24" t="n">
        <f aca="false">ROW()-3</f>
        <v>30</v>
      </c>
      <c r="B33" s="32" t="s">
        <v>35</v>
      </c>
      <c r="C33" s="35" t="s">
        <v>398</v>
      </c>
      <c r="D33" s="24"/>
      <c r="E33" s="24"/>
    </row>
    <row r="34" customFormat="false" ht="20.25" hidden="false" customHeight="true" outlineLevel="0" collapsed="false">
      <c r="A34" s="24" t="n">
        <f aca="false">ROW()-3</f>
        <v>31</v>
      </c>
      <c r="B34" s="32" t="s">
        <v>38</v>
      </c>
      <c r="C34" s="35" t="s">
        <v>399</v>
      </c>
      <c r="D34" s="24"/>
      <c r="E34" s="24"/>
    </row>
    <row r="35" customFormat="false" ht="20.25" hidden="false" customHeight="true" outlineLevel="0" collapsed="false">
      <c r="A35" s="24" t="n">
        <f aca="false">ROW()-3</f>
        <v>32</v>
      </c>
      <c r="B35" s="32" t="s">
        <v>41</v>
      </c>
      <c r="C35" s="35" t="s">
        <v>400</v>
      </c>
      <c r="D35" s="24"/>
      <c r="E35" s="24"/>
    </row>
    <row r="36" customFormat="false" ht="20.25" hidden="false" customHeight="true" outlineLevel="0" collapsed="false">
      <c r="A36" s="24" t="n">
        <f aca="false">ROW()-3</f>
        <v>33</v>
      </c>
      <c r="B36" s="32" t="s">
        <v>44</v>
      </c>
      <c r="C36" s="35" t="s">
        <v>401</v>
      </c>
      <c r="D36" s="24"/>
      <c r="E36" s="24"/>
    </row>
    <row r="37" customFormat="false" ht="20.25" hidden="false" customHeight="true" outlineLevel="0" collapsed="false">
      <c r="A37" s="24" t="n">
        <f aca="false">ROW()-3</f>
        <v>34</v>
      </c>
      <c r="B37" s="32" t="s">
        <v>47</v>
      </c>
      <c r="C37" s="35" t="s">
        <v>402</v>
      </c>
      <c r="D37" s="24"/>
      <c r="E37" s="24"/>
    </row>
    <row r="38" customFormat="false" ht="20.25" hidden="false" customHeight="true" outlineLevel="0" collapsed="false">
      <c r="A38" s="24" t="n">
        <f aca="false">ROW()-3</f>
        <v>35</v>
      </c>
      <c r="B38" s="32" t="s">
        <v>50</v>
      </c>
      <c r="C38" s="35" t="s">
        <v>403</v>
      </c>
      <c r="D38" s="24"/>
      <c r="E38" s="24"/>
    </row>
    <row r="39" customFormat="false" ht="20.25" hidden="false" customHeight="true" outlineLevel="0" collapsed="false">
      <c r="A39" s="24" t="n">
        <f aca="false">ROW()-3</f>
        <v>36</v>
      </c>
      <c r="B39" s="32" t="s">
        <v>52</v>
      </c>
      <c r="C39" s="35" t="s">
        <v>268</v>
      </c>
      <c r="D39" s="24"/>
      <c r="E39" s="24"/>
    </row>
    <row r="40" customFormat="false" ht="20.25" hidden="false" customHeight="true" outlineLevel="0" collapsed="false">
      <c r="A40" s="34" t="s">
        <v>404</v>
      </c>
      <c r="B40" s="34"/>
      <c r="C40" s="34"/>
      <c r="D40" s="34"/>
      <c r="E40" s="34"/>
    </row>
    <row r="41" customFormat="false" ht="20.25" hidden="false" customHeight="true" outlineLevel="0" collapsed="false">
      <c r="A41" s="24" t="n">
        <f aca="false">ROW()-4</f>
        <v>37</v>
      </c>
      <c r="B41" s="24" t="s">
        <v>5</v>
      </c>
      <c r="C41" s="35" t="s">
        <v>405</v>
      </c>
      <c r="D41" s="24"/>
      <c r="E41" s="24"/>
    </row>
    <row r="42" customFormat="false" ht="20.25" hidden="false" customHeight="true" outlineLevel="0" collapsed="false">
      <c r="A42" s="24" t="n">
        <f aca="false">ROW()-4</f>
        <v>38</v>
      </c>
      <c r="B42" s="32" t="s">
        <v>9</v>
      </c>
      <c r="C42" s="35" t="s">
        <v>406</v>
      </c>
      <c r="D42" s="24"/>
      <c r="E42" s="24"/>
    </row>
    <row r="43" customFormat="false" ht="20.25" hidden="false" customHeight="true" outlineLevel="0" collapsed="false">
      <c r="A43" s="24" t="n">
        <f aca="false">ROW()-4</f>
        <v>39</v>
      </c>
      <c r="B43" s="32" t="s">
        <v>12</v>
      </c>
      <c r="C43" s="35" t="s">
        <v>407</v>
      </c>
      <c r="D43" s="24"/>
      <c r="E43" s="24"/>
    </row>
    <row r="44" customFormat="false" ht="20.25" hidden="false" customHeight="true" outlineLevel="0" collapsed="false">
      <c r="A44" s="24" t="n">
        <f aca="false">ROW()-4</f>
        <v>40</v>
      </c>
      <c r="B44" s="32" t="s">
        <v>14</v>
      </c>
      <c r="C44" s="35" t="s">
        <v>408</v>
      </c>
      <c r="D44" s="24"/>
      <c r="E44" s="24"/>
    </row>
    <row r="45" customFormat="false" ht="20.25" hidden="false" customHeight="true" outlineLevel="0" collapsed="false">
      <c r="A45" s="24" t="n">
        <f aca="false">ROW()-4</f>
        <v>41</v>
      </c>
      <c r="B45" s="32" t="s">
        <v>17</v>
      </c>
      <c r="C45" s="35" t="s">
        <v>409</v>
      </c>
      <c r="D45" s="24"/>
      <c r="E45" s="24"/>
    </row>
    <row r="46" customFormat="false" ht="20.25" hidden="false" customHeight="true" outlineLevel="0" collapsed="false">
      <c r="A46" s="24" t="n">
        <f aca="false">ROW()-4</f>
        <v>42</v>
      </c>
      <c r="B46" s="32" t="s">
        <v>20</v>
      </c>
      <c r="C46" s="35" t="s">
        <v>410</v>
      </c>
      <c r="D46" s="24"/>
      <c r="E46" s="24"/>
    </row>
    <row r="47" customFormat="false" ht="20.25" hidden="false" customHeight="true" outlineLevel="0" collapsed="false">
      <c r="A47" s="24" t="n">
        <f aca="false">ROW()-4</f>
        <v>43</v>
      </c>
      <c r="B47" s="32" t="s">
        <v>23</v>
      </c>
      <c r="C47" s="35" t="s">
        <v>411</v>
      </c>
      <c r="D47" s="24"/>
      <c r="E47" s="24"/>
    </row>
    <row r="48" customFormat="false" ht="20.25" hidden="false" customHeight="true" outlineLevel="0" collapsed="false">
      <c r="A48" s="24" t="n">
        <f aca="false">ROW()-4</f>
        <v>44</v>
      </c>
      <c r="B48" s="32" t="s">
        <v>26</v>
      </c>
      <c r="C48" s="35" t="s">
        <v>261</v>
      </c>
      <c r="D48" s="24"/>
      <c r="E48" s="24"/>
    </row>
    <row r="49" customFormat="false" ht="20.25" hidden="false" customHeight="true" outlineLevel="0" collapsed="false">
      <c r="A49" s="24" t="n">
        <f aca="false">ROW()-4</f>
        <v>45</v>
      </c>
      <c r="B49" s="32" t="s">
        <v>29</v>
      </c>
      <c r="C49" s="35" t="s">
        <v>412</v>
      </c>
      <c r="D49" s="24"/>
      <c r="E49" s="24"/>
    </row>
    <row r="50" customFormat="false" ht="20.25" hidden="false" customHeight="true" outlineLevel="0" collapsed="false">
      <c r="A50" s="24" t="n">
        <f aca="false">ROW()-4</f>
        <v>46</v>
      </c>
      <c r="B50" s="32" t="s">
        <v>32</v>
      </c>
      <c r="C50" s="35" t="s">
        <v>413</v>
      </c>
      <c r="D50" s="24"/>
      <c r="E50" s="24"/>
    </row>
    <row r="51" customFormat="false" ht="20.25" hidden="false" customHeight="true" outlineLevel="0" collapsed="false">
      <c r="A51" s="24" t="n">
        <f aca="false">ROW()-4</f>
        <v>47</v>
      </c>
      <c r="B51" s="32" t="s">
        <v>35</v>
      </c>
      <c r="C51" s="35" t="s">
        <v>414</v>
      </c>
      <c r="D51" s="24"/>
      <c r="E51" s="24"/>
    </row>
    <row r="52" customFormat="false" ht="20.25" hidden="false" customHeight="true" outlineLevel="0" collapsed="false">
      <c r="A52" s="24" t="n">
        <f aca="false">ROW()-4</f>
        <v>48</v>
      </c>
      <c r="B52" s="32" t="s">
        <v>38</v>
      </c>
      <c r="C52" s="35" t="s">
        <v>415</v>
      </c>
      <c r="D52" s="24"/>
      <c r="E52" s="24"/>
    </row>
    <row r="53" customFormat="false" ht="20.25" hidden="false" customHeight="true" outlineLevel="0" collapsed="false">
      <c r="A53" s="24" t="n">
        <f aca="false">ROW()-4</f>
        <v>49</v>
      </c>
      <c r="B53" s="32" t="s">
        <v>41</v>
      </c>
      <c r="C53" s="35" t="s">
        <v>416</v>
      </c>
      <c r="D53" s="24"/>
      <c r="E53" s="24"/>
    </row>
    <row r="54" customFormat="false" ht="20.25" hidden="false" customHeight="true" outlineLevel="0" collapsed="false">
      <c r="A54" s="34" t="s">
        <v>417</v>
      </c>
      <c r="B54" s="34"/>
      <c r="C54" s="34"/>
      <c r="D54" s="34"/>
      <c r="E54" s="34"/>
    </row>
    <row r="55" customFormat="false" ht="20.25" hidden="false" customHeight="true" outlineLevel="0" collapsed="false">
      <c r="A55" s="24" t="n">
        <f aca="false">ROW()-5</f>
        <v>50</v>
      </c>
      <c r="B55" s="32" t="s">
        <v>5</v>
      </c>
      <c r="C55" s="35" t="s">
        <v>418</v>
      </c>
      <c r="D55" s="24"/>
      <c r="E55" s="24"/>
    </row>
    <row r="56" customFormat="false" ht="20.25" hidden="false" customHeight="true" outlineLevel="0" collapsed="false">
      <c r="A56" s="24" t="n">
        <f aca="false">ROW()-5</f>
        <v>51</v>
      </c>
      <c r="B56" s="32" t="s">
        <v>9</v>
      </c>
      <c r="C56" s="35" t="s">
        <v>419</v>
      </c>
      <c r="D56" s="24"/>
      <c r="E56" s="24"/>
    </row>
    <row r="57" customFormat="false" ht="20.25" hidden="false" customHeight="true" outlineLevel="0" collapsed="false">
      <c r="A57" s="24" t="n">
        <f aca="false">ROW()-5</f>
        <v>52</v>
      </c>
      <c r="B57" s="32" t="s">
        <v>12</v>
      </c>
      <c r="C57" s="35" t="s">
        <v>420</v>
      </c>
      <c r="D57" s="24"/>
      <c r="E57" s="24"/>
    </row>
    <row r="58" customFormat="false" ht="20.25" hidden="false" customHeight="true" outlineLevel="0" collapsed="false">
      <c r="A58" s="24" t="n">
        <f aca="false">ROW()-5</f>
        <v>53</v>
      </c>
      <c r="B58" s="32" t="s">
        <v>14</v>
      </c>
      <c r="C58" s="35" t="s">
        <v>421</v>
      </c>
      <c r="D58" s="24"/>
      <c r="E58" s="24"/>
    </row>
    <row r="59" customFormat="false" ht="20.25" hidden="false" customHeight="true" outlineLevel="0" collapsed="false">
      <c r="A59" s="24" t="n">
        <f aca="false">ROW()-5</f>
        <v>54</v>
      </c>
      <c r="B59" s="32" t="s">
        <v>17</v>
      </c>
      <c r="C59" s="35" t="s">
        <v>422</v>
      </c>
      <c r="D59" s="24"/>
      <c r="E59" s="24"/>
    </row>
    <row r="60" customFormat="false" ht="20.25" hidden="false" customHeight="true" outlineLevel="0" collapsed="false">
      <c r="A60" s="24" t="n">
        <f aca="false">ROW()-5</f>
        <v>55</v>
      </c>
      <c r="B60" s="32" t="s">
        <v>20</v>
      </c>
      <c r="C60" s="35" t="s">
        <v>423</v>
      </c>
      <c r="D60" s="24"/>
      <c r="E60" s="24"/>
    </row>
    <row r="61" customFormat="false" ht="20.25" hidden="false" customHeight="true" outlineLevel="0" collapsed="false">
      <c r="A61" s="24" t="n">
        <f aca="false">ROW()-5</f>
        <v>56</v>
      </c>
      <c r="B61" s="32" t="s">
        <v>23</v>
      </c>
      <c r="C61" s="35" t="s">
        <v>424</v>
      </c>
      <c r="D61" s="24"/>
      <c r="E61" s="24"/>
    </row>
    <row r="62" customFormat="false" ht="20.25" hidden="false" customHeight="true" outlineLevel="0" collapsed="false">
      <c r="A62" s="24" t="n">
        <f aca="false">ROW()-5</f>
        <v>57</v>
      </c>
      <c r="B62" s="32" t="s">
        <v>26</v>
      </c>
      <c r="C62" s="35" t="s">
        <v>425</v>
      </c>
      <c r="D62" s="24"/>
      <c r="E62" s="24"/>
    </row>
    <row r="63" customFormat="false" ht="20.25" hidden="false" customHeight="true" outlineLevel="0" collapsed="false">
      <c r="A63" s="24" t="n">
        <f aca="false">ROW()-5</f>
        <v>58</v>
      </c>
      <c r="B63" s="32" t="s">
        <v>29</v>
      </c>
      <c r="C63" s="35" t="s">
        <v>426</v>
      </c>
      <c r="D63" s="24"/>
      <c r="E63" s="24"/>
    </row>
    <row r="64" customFormat="false" ht="20.25" hidden="false" customHeight="true" outlineLevel="0" collapsed="false">
      <c r="A64" s="24" t="n">
        <f aca="false">ROW()-5</f>
        <v>59</v>
      </c>
      <c r="B64" s="32" t="s">
        <v>32</v>
      </c>
      <c r="C64" s="35" t="s">
        <v>427</v>
      </c>
      <c r="D64" s="24"/>
      <c r="E64" s="24"/>
    </row>
    <row r="65" customFormat="false" ht="20.25" hidden="false" customHeight="true" outlineLevel="0" collapsed="false">
      <c r="A65" s="24" t="n">
        <f aca="false">ROW()-5</f>
        <v>60</v>
      </c>
      <c r="B65" s="32" t="s">
        <v>35</v>
      </c>
      <c r="C65" s="35" t="s">
        <v>428</v>
      </c>
      <c r="D65" s="24"/>
      <c r="E65" s="24"/>
    </row>
    <row r="66" customFormat="false" ht="20.25" hidden="false" customHeight="true" outlineLevel="0" collapsed="false">
      <c r="A66" s="34" t="s">
        <v>429</v>
      </c>
      <c r="B66" s="34"/>
      <c r="C66" s="34"/>
      <c r="D66" s="34"/>
      <c r="E66" s="34"/>
    </row>
    <row r="67" customFormat="false" ht="20.25" hidden="false" customHeight="true" outlineLevel="0" collapsed="false">
      <c r="A67" s="24" t="n">
        <f aca="false">ROW()-6</f>
        <v>61</v>
      </c>
      <c r="B67" s="32" t="s">
        <v>5</v>
      </c>
      <c r="C67" s="35" t="s">
        <v>430</v>
      </c>
      <c r="D67" s="24"/>
      <c r="E67" s="24"/>
    </row>
    <row r="68" customFormat="false" ht="20.25" hidden="false" customHeight="true" outlineLevel="0" collapsed="false">
      <c r="A68" s="24" t="n">
        <f aca="false">ROW()-6</f>
        <v>62</v>
      </c>
      <c r="B68" s="32" t="s">
        <v>9</v>
      </c>
      <c r="C68" s="35" t="s">
        <v>431</v>
      </c>
      <c r="D68" s="24"/>
      <c r="E68" s="24"/>
    </row>
    <row r="69" customFormat="false" ht="20.25" hidden="false" customHeight="true" outlineLevel="0" collapsed="false">
      <c r="A69" s="24" t="n">
        <f aca="false">ROW()-6</f>
        <v>63</v>
      </c>
      <c r="B69" s="32" t="s">
        <v>12</v>
      </c>
      <c r="C69" s="35" t="s">
        <v>432</v>
      </c>
      <c r="D69" s="24"/>
      <c r="E69" s="24"/>
    </row>
    <row r="70" customFormat="false" ht="20.25" hidden="false" customHeight="true" outlineLevel="0" collapsed="false">
      <c r="A70" s="24" t="n">
        <f aca="false">ROW()-6</f>
        <v>64</v>
      </c>
      <c r="B70" s="32" t="s">
        <v>14</v>
      </c>
      <c r="C70" s="35" t="s">
        <v>433</v>
      </c>
      <c r="D70" s="24"/>
      <c r="E70" s="24"/>
    </row>
    <row r="71" customFormat="false" ht="20.25" hidden="false" customHeight="true" outlineLevel="0" collapsed="false">
      <c r="A71" s="24" t="n">
        <f aca="false">ROW()-6</f>
        <v>65</v>
      </c>
      <c r="B71" s="32" t="s">
        <v>17</v>
      </c>
      <c r="C71" s="35" t="s">
        <v>434</v>
      </c>
      <c r="D71" s="24"/>
      <c r="E71" s="24"/>
    </row>
    <row r="72" customFormat="false" ht="20.25" hidden="false" customHeight="true" outlineLevel="0" collapsed="false">
      <c r="A72" s="24" t="n">
        <f aca="false">ROW()-6</f>
        <v>66</v>
      </c>
      <c r="B72" s="32" t="s">
        <v>20</v>
      </c>
      <c r="C72" s="35" t="s">
        <v>435</v>
      </c>
      <c r="D72" s="24"/>
      <c r="E72" s="24"/>
    </row>
    <row r="73" customFormat="false" ht="20.25" hidden="false" customHeight="true" outlineLevel="0" collapsed="false">
      <c r="A73" s="24" t="n">
        <f aca="false">ROW()-6</f>
        <v>67</v>
      </c>
      <c r="B73" s="32" t="s">
        <v>23</v>
      </c>
      <c r="C73" s="35" t="s">
        <v>436</v>
      </c>
      <c r="D73" s="24"/>
      <c r="E73" s="24"/>
    </row>
    <row r="74" customFormat="false" ht="20.25" hidden="false" customHeight="true" outlineLevel="0" collapsed="false">
      <c r="A74" s="24" t="n">
        <f aca="false">ROW()-6</f>
        <v>68</v>
      </c>
      <c r="B74" s="32" t="s">
        <v>26</v>
      </c>
      <c r="C74" s="35" t="s">
        <v>437</v>
      </c>
      <c r="D74" s="24"/>
      <c r="E74" s="24"/>
    </row>
    <row r="75" customFormat="false" ht="20.25" hidden="false" customHeight="true" outlineLevel="0" collapsed="false">
      <c r="A75" s="24" t="n">
        <f aca="false">ROW()-6</f>
        <v>69</v>
      </c>
      <c r="B75" s="32" t="s">
        <v>29</v>
      </c>
      <c r="C75" s="35" t="s">
        <v>438</v>
      </c>
      <c r="D75" s="24"/>
      <c r="E75" s="24"/>
    </row>
    <row r="76" customFormat="false" ht="20.25" hidden="false" customHeight="true" outlineLevel="0" collapsed="false">
      <c r="A76" s="24" t="n">
        <f aca="false">ROW()-6</f>
        <v>70</v>
      </c>
      <c r="B76" s="32" t="s">
        <v>32</v>
      </c>
      <c r="C76" s="35" t="s">
        <v>439</v>
      </c>
      <c r="D76" s="24"/>
      <c r="E76" s="24"/>
    </row>
    <row r="77" customFormat="false" ht="20.25" hidden="false" customHeight="true" outlineLevel="0" collapsed="false">
      <c r="A77" s="24" t="n">
        <f aca="false">ROW()-6</f>
        <v>71</v>
      </c>
      <c r="B77" s="32" t="s">
        <v>35</v>
      </c>
      <c r="C77" s="35" t="s">
        <v>440</v>
      </c>
      <c r="D77" s="36"/>
      <c r="E77" s="36"/>
    </row>
  </sheetData>
  <mergeCells count="5">
    <mergeCell ref="A2:E2"/>
    <mergeCell ref="A22:E22"/>
    <mergeCell ref="A40:E40"/>
    <mergeCell ref="A54:E54"/>
    <mergeCell ref="A66:E66"/>
  </mergeCells>
  <hyperlinks>
    <hyperlink ref="A2" r:id="rId1" display="阶段4图论5"/>
    <hyperlink ref="C3" r:id="rId2" display="Capitalism"/>
    <hyperlink ref="C4" r:id="rId3" display="Envy"/>
    <hyperlink ref="C5" r:id="rId4" display="Riddle"/>
    <hyperlink ref="C6" r:id="rId5" display="矩阵游戏"/>
    <hyperlink ref="C7" r:id="rId6" display="Indecisive Taxi Fee"/>
    <hyperlink ref="C8" r:id="rId7" display="Honest or Liar or Confused"/>
    <hyperlink ref="C9" r:id="rId8" display="Superb Graphs"/>
    <hyperlink ref="C10" r:id="rId9" display="造桥与砍树"/>
    <hyperlink ref="C11" r:id="rId10" display="最小生成树"/>
    <hyperlink ref="C12" r:id="rId11" display="货车运输"/>
    <hyperlink ref="C13" r:id="rId12" display="归程"/>
    <hyperlink ref="C14" r:id="rId13" display="Peaks 加强版"/>
    <hyperlink ref="C15" r:id="rId14" display="werewolf 狼人"/>
    <hyperlink ref="C16" r:id="rId15" display="『GROI-R3』Star Trip"/>
    <hyperlink ref="C17" r:id="rId16" display="Journey"/>
    <hyperlink ref="C18" r:id="rId17" display="铁人两项"/>
    <hyperlink ref="C19" r:id="rId18" display="道路相遇"/>
    <hyperlink ref="C20" r:id="rId19" display="战略游戏"/>
    <hyperlink ref="C21" r:id="rId20" display="Tourists"/>
    <hyperlink ref="A22" r:id="rId21" display="阶段5多项式1"/>
    <hyperlink ref="C23" r:id="rId22" display="高精度乘法 / A*B Problem 升级版"/>
    <hyperlink ref="C24" r:id="rId23" display="任意模数多项式乘法"/>
    <hyperlink ref="C25" r:id="rId24" display="残缺的字符串"/>
    <hyperlink ref="C26" r:id="rId25" display="Zimpha Fan Club"/>
    <hyperlink ref="C27" r:id="rId26" display="城市规划"/>
    <hyperlink ref="C28" r:id="rId27" display="常系数齐次线性递推"/>
    <hyperlink ref="C29" r:id="rId28" display="calc"/>
    <hyperlink ref="C30" r:id="rId29" display="拉格朗日插值2"/>
    <hyperlink ref="C31" r:id="rId30" display="填树"/>
    <hyperlink ref="C32" r:id="rId31" display="The Sum of the k-th Powers"/>
    <hyperlink ref="C33" r:id="rId32" display="木棍"/>
    <hyperlink ref="C34" r:id="rId33" display="骗我呢"/>
    <hyperlink ref="C35" r:id="rId34" display="Sweets"/>
    <hyperlink ref="C36" r:id="rId35" display="整数的lqp拆分"/>
    <hyperlink ref="C37" r:id="rId36" display="概率论"/>
    <hyperlink ref="C38" r:id="rId37" display="BZOJ3028 食物"/>
    <hyperlink ref="C39" r:id="rId38" display="多项式乘法（FFT）"/>
    <hyperlink ref="A40" r:id="rId39" display="阶段4计算几何1"/>
    <hyperlink ref="C41" r:id="rId40" display="二人的星座 / Constellation 2"/>
    <hyperlink ref="C42" r:id="rId41" display="奶酪"/>
    <hyperlink ref="C43" r:id="rId42" display="Cave Cows 3"/>
    <hyperlink ref="C44" r:id="rId43" display="求和"/>
    <hyperlink ref="C45" r:id="rId44" display="MAG-Warehouse"/>
    <hyperlink ref="C46" r:id="rId45" display="pairs 动物对数"/>
    <hyperlink ref="C47" r:id="rId46" display="松鼠聚会"/>
    <hyperlink ref="C48" r:id="rId47" display="二维凸包 / [USACO5.1] 圈奶牛Fencing the Cows"/>
    <hyperlink ref="C49" r:id="rId48" display="Multiple Choice Test P"/>
    <hyperlink ref="C50" r:id="rId49" display="信用卡凸包"/>
    <hyperlink ref="C51" r:id="rId50" display="战争"/>
    <hyperlink ref="C52" r:id="rId51" display="Beauty Contest G"/>
    <hyperlink ref="C53" r:id="rId52" display="最小矩形覆盖"/>
    <hyperlink ref="A54" r:id="rId53" display="阶段4网络流1"/>
    <hyperlink ref="C55" r:id="rId54" display="最长不下降子序列问题"/>
    <hyperlink ref="C56" r:id="rId55" display="狼抓兔子"/>
    <hyperlink ref="C57" r:id="rId56" display="善意的投票 / [JLOI2010] 冠军调查"/>
    <hyperlink ref="C58" r:id="rId57" display="切糕"/>
    <hyperlink ref="C59" r:id="rId58" display="Max Vector"/>
    <hyperlink ref="C60" r:id="rId59" display="最大获利"/>
    <hyperlink ref="C61" r:id="rId60" display="寿司餐厅"/>
    <hyperlink ref="C62" r:id="rId61" display="剪刀石头布"/>
    <hyperlink ref="C63" r:id="rId62" display="餐巾计划问题"/>
    <hyperlink ref="C64" r:id="rId63" display="文理分科"/>
    <hyperlink ref="C65" r:id="rId64" display="全源最短路（Johnson）|| zxf指定题目"/>
    <hyperlink ref="A66" r:id="rId65" display=" 阶段3随机化算法（非确定性算法）"/>
    <hyperlink ref="C67" r:id="rId66" display="魔术表演"/>
    <hyperlink ref="C68" r:id="rId67" display="可重集"/>
    <hyperlink ref="C69" r:id="rId68" display="后缀排序（哈希做法）"/>
    <hyperlink ref="C70" r:id="rId69" display="最长同类子串"/>
    <hyperlink ref="C71" r:id="rId70" display="Odd Mineral Resource"/>
    <hyperlink ref="C72" r:id="rId71" display="Permutation"/>
    <hyperlink ref="C73" r:id="rId72" display="毒瘤题加强版再加强版"/>
    <hyperlink ref="C74" r:id="rId73" display="Cartesian Trees"/>
    <hyperlink ref="C75" r:id="rId74" display="Two Arrays"/>
    <hyperlink ref="C76" r:id="rId75" display="XOR Sum of Arrays"/>
    <hyperlink ref="C77" r:id="rId76" display="Kazaee"/>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9"/>
  <sheetViews>
    <sheetView showFormulas="false" showGridLines="true" showRowColHeaders="true" showZeros="true" rightToLeft="false" tabSelected="false" showOutlineSymbols="true" defaultGridColor="true" view="normal" topLeftCell="A64" colorId="64" zoomScale="110" zoomScaleNormal="110" zoomScalePageLayoutView="100" workbookViewId="0">
      <selection pane="topLeft" activeCell="A1" activeCellId="0" sqref="A1"/>
    </sheetView>
  </sheetViews>
  <sheetFormatPr defaultColWidth="7.89453125" defaultRowHeight="15" customHeight="false" zeroHeight="false" outlineLevelRow="0" outlineLevelCol="0"/>
  <cols>
    <col collapsed="false" customWidth="true" hidden="false" outlineLevel="0" max="1" min="1" style="1" width="8.45"/>
    <col collapsed="false" customWidth="true" hidden="false" outlineLevel="0" max="2" min="2" style="1" width="38.34"/>
    <col collapsed="false" customWidth="true" hidden="false" outlineLevel="0" max="3" min="3" style="1" width="14.95"/>
    <col collapsed="false" customWidth="true" hidden="false" outlineLevel="0" max="4" min="4" style="1" width="38.34"/>
    <col collapsed="false" customWidth="true" hidden="false" outlineLevel="0" max="24" min="5" style="1" width="12.34"/>
  </cols>
  <sheetData>
    <row r="1" customFormat="false" ht="20.25" hidden="false" customHeight="true" outlineLevel="0" collapsed="false">
      <c r="A1" s="37"/>
      <c r="B1" s="38" t="s">
        <v>441</v>
      </c>
      <c r="C1" s="39" t="s">
        <v>2</v>
      </c>
      <c r="D1" s="39" t="s">
        <v>3</v>
      </c>
    </row>
    <row r="2" customFormat="false" ht="20.25" hidden="false" customHeight="true" outlineLevel="0" collapsed="false">
      <c r="A2" s="22" t="s">
        <v>5</v>
      </c>
      <c r="B2" s="40" t="s">
        <v>442</v>
      </c>
      <c r="C2" s="40"/>
      <c r="D2" s="40"/>
    </row>
    <row r="3" customFormat="false" ht="20.25" hidden="false" customHeight="true" outlineLevel="0" collapsed="false">
      <c r="A3" s="22" t="s">
        <v>9</v>
      </c>
      <c r="B3" s="40" t="s">
        <v>443</v>
      </c>
      <c r="C3" s="40"/>
      <c r="D3" s="40"/>
    </row>
    <row r="4" customFormat="false" ht="20.25" hidden="false" customHeight="true" outlineLevel="0" collapsed="false">
      <c r="A4" s="22" t="s">
        <v>12</v>
      </c>
      <c r="B4" s="40" t="s">
        <v>444</v>
      </c>
      <c r="C4" s="40"/>
      <c r="D4" s="40"/>
    </row>
    <row r="5" customFormat="false" ht="20.25" hidden="false" customHeight="true" outlineLevel="0" collapsed="false">
      <c r="A5" s="22" t="s">
        <v>14</v>
      </c>
      <c r="B5" s="40" t="s">
        <v>445</v>
      </c>
      <c r="C5" s="40"/>
      <c r="D5" s="40"/>
    </row>
    <row r="6" customFormat="false" ht="20.25" hidden="false" customHeight="true" outlineLevel="0" collapsed="false">
      <c r="A6" s="22" t="s">
        <v>17</v>
      </c>
      <c r="B6" s="40" t="s">
        <v>446</v>
      </c>
      <c r="C6" s="40"/>
      <c r="D6" s="40"/>
    </row>
    <row r="7" customFormat="false" ht="20.25" hidden="false" customHeight="true" outlineLevel="0" collapsed="false">
      <c r="A7" s="22" t="s">
        <v>20</v>
      </c>
      <c r="B7" s="40" t="s">
        <v>447</v>
      </c>
      <c r="C7" s="40"/>
      <c r="D7" s="40"/>
    </row>
    <row r="8" customFormat="false" ht="20.25" hidden="false" customHeight="true" outlineLevel="0" collapsed="false">
      <c r="A8" s="22" t="s">
        <v>23</v>
      </c>
      <c r="B8" s="40" t="s">
        <v>448</v>
      </c>
      <c r="C8" s="40"/>
      <c r="D8" s="40"/>
    </row>
    <row r="9" customFormat="false" ht="20.25" hidden="false" customHeight="true" outlineLevel="0" collapsed="false">
      <c r="A9" s="22" t="s">
        <v>26</v>
      </c>
      <c r="B9" s="40" t="s">
        <v>449</v>
      </c>
      <c r="C9" s="40"/>
      <c r="D9" s="40"/>
    </row>
    <row r="10" customFormat="false" ht="20.25" hidden="false" customHeight="true" outlineLevel="0" collapsed="false">
      <c r="A10" s="22" t="s">
        <v>29</v>
      </c>
      <c r="B10" s="40" t="s">
        <v>450</v>
      </c>
      <c r="C10" s="40"/>
      <c r="D10" s="40"/>
    </row>
    <row r="11" customFormat="false" ht="20.25" hidden="false" customHeight="true" outlineLevel="0" collapsed="false">
      <c r="A11" s="22" t="s">
        <v>32</v>
      </c>
      <c r="B11" s="40" t="s">
        <v>451</v>
      </c>
      <c r="C11" s="40"/>
      <c r="D11" s="40"/>
    </row>
    <row r="12" customFormat="false" ht="20.25" hidden="false" customHeight="true" outlineLevel="0" collapsed="false">
      <c r="A12" s="22" t="s">
        <v>35</v>
      </c>
      <c r="B12" s="40" t="s">
        <v>452</v>
      </c>
      <c r="C12" s="40"/>
      <c r="D12" s="40"/>
    </row>
    <row r="13" customFormat="false" ht="20.25" hidden="false" customHeight="true" outlineLevel="0" collapsed="false">
      <c r="A13" s="22" t="s">
        <v>38</v>
      </c>
      <c r="B13" s="40" t="s">
        <v>453</v>
      </c>
      <c r="C13" s="40"/>
      <c r="D13" s="40"/>
    </row>
    <row r="14" customFormat="false" ht="20.25" hidden="false" customHeight="true" outlineLevel="0" collapsed="false">
      <c r="A14" s="24"/>
      <c r="B14" s="38" t="s">
        <v>454</v>
      </c>
      <c r="C14" s="39" t="s">
        <v>2</v>
      </c>
      <c r="D14" s="39" t="s">
        <v>3</v>
      </c>
    </row>
    <row r="15" customFormat="false" ht="20.25" hidden="false" customHeight="true" outlineLevel="0" collapsed="false">
      <c r="A15" s="22" t="s">
        <v>5</v>
      </c>
      <c r="B15" s="40" t="s">
        <v>206</v>
      </c>
      <c r="C15" s="40"/>
      <c r="D15" s="40"/>
    </row>
    <row r="16" customFormat="false" ht="20.25" hidden="false" customHeight="true" outlineLevel="0" collapsed="false">
      <c r="A16" s="22" t="s">
        <v>9</v>
      </c>
      <c r="B16" s="40" t="s">
        <v>455</v>
      </c>
      <c r="C16" s="40"/>
      <c r="D16" s="40"/>
    </row>
    <row r="17" customFormat="false" ht="20.25" hidden="false" customHeight="true" outlineLevel="0" collapsed="false">
      <c r="A17" s="22" t="s">
        <v>12</v>
      </c>
      <c r="B17" s="40" t="s">
        <v>390</v>
      </c>
      <c r="C17" s="40"/>
      <c r="D17" s="40"/>
    </row>
    <row r="18" customFormat="false" ht="20.25" hidden="false" customHeight="true" outlineLevel="0" collapsed="false">
      <c r="A18" s="22" t="s">
        <v>14</v>
      </c>
      <c r="B18" s="40" t="s">
        <v>456</v>
      </c>
      <c r="C18" s="40"/>
      <c r="D18" s="40"/>
    </row>
    <row r="19" customFormat="false" ht="20.25" hidden="false" customHeight="true" outlineLevel="0" collapsed="false">
      <c r="A19" s="22" t="s">
        <v>17</v>
      </c>
      <c r="B19" s="40" t="s">
        <v>457</v>
      </c>
      <c r="C19" s="40"/>
      <c r="D19" s="40"/>
    </row>
    <row r="20" customFormat="false" ht="20.25" hidden="false" customHeight="true" outlineLevel="0" collapsed="false">
      <c r="A20" s="22" t="s">
        <v>20</v>
      </c>
      <c r="B20" s="40" t="s">
        <v>204</v>
      </c>
      <c r="C20" s="40"/>
      <c r="D20" s="40"/>
    </row>
    <row r="21" customFormat="false" ht="20.25" hidden="false" customHeight="true" outlineLevel="0" collapsed="false">
      <c r="A21" s="22" t="s">
        <v>23</v>
      </c>
      <c r="B21" s="40" t="s">
        <v>458</v>
      </c>
      <c r="C21" s="40"/>
      <c r="D21" s="40"/>
    </row>
    <row r="22" customFormat="false" ht="20.25" hidden="false" customHeight="true" outlineLevel="0" collapsed="false">
      <c r="A22" s="22" t="s">
        <v>26</v>
      </c>
      <c r="B22" s="40" t="s">
        <v>459</v>
      </c>
      <c r="C22" s="40"/>
      <c r="D22" s="40"/>
    </row>
    <row r="23" customFormat="false" ht="20.25" hidden="false" customHeight="true" outlineLevel="0" collapsed="false">
      <c r="A23" s="22" t="s">
        <v>29</v>
      </c>
      <c r="B23" s="40" t="s">
        <v>212</v>
      </c>
      <c r="C23" s="40"/>
      <c r="D23" s="40"/>
    </row>
    <row r="24" customFormat="false" ht="20.25" hidden="false" customHeight="true" outlineLevel="0" collapsed="false">
      <c r="A24" s="22" t="s">
        <v>32</v>
      </c>
      <c r="B24" s="40" t="s">
        <v>460</v>
      </c>
      <c r="C24" s="40"/>
      <c r="D24" s="40"/>
    </row>
    <row r="25" customFormat="false" ht="20.25" hidden="false" customHeight="true" outlineLevel="0" collapsed="false">
      <c r="A25" s="22" t="s">
        <v>35</v>
      </c>
      <c r="B25" s="40" t="s">
        <v>461</v>
      </c>
      <c r="C25" s="40"/>
      <c r="D25" s="40"/>
    </row>
    <row r="26" customFormat="false" ht="20.25" hidden="false" customHeight="true" outlineLevel="0" collapsed="false">
      <c r="A26" s="22" t="s">
        <v>38</v>
      </c>
      <c r="B26" s="40" t="s">
        <v>462</v>
      </c>
      <c r="C26" s="40"/>
      <c r="D26" s="40"/>
    </row>
    <row r="27" customFormat="false" ht="20.25" hidden="false" customHeight="true" outlineLevel="0" collapsed="false">
      <c r="A27" s="22" t="s">
        <v>41</v>
      </c>
      <c r="B27" s="40" t="s">
        <v>210</v>
      </c>
      <c r="C27" s="40"/>
      <c r="D27" s="40"/>
    </row>
    <row r="28" customFormat="false" ht="20.25" hidden="false" customHeight="true" outlineLevel="0" collapsed="false">
      <c r="A28" s="22" t="s">
        <v>44</v>
      </c>
      <c r="B28" s="40" t="s">
        <v>463</v>
      </c>
      <c r="C28" s="40"/>
      <c r="D28" s="40"/>
    </row>
    <row r="29" customFormat="false" ht="20.25" hidden="false" customHeight="true" outlineLevel="0" collapsed="false">
      <c r="A29" s="22" t="s">
        <v>47</v>
      </c>
      <c r="B29" s="40" t="s">
        <v>202</v>
      </c>
      <c r="C29" s="40"/>
      <c r="D29" s="40"/>
    </row>
    <row r="30" customFormat="false" ht="20.25" hidden="false" customHeight="true" outlineLevel="0" collapsed="false">
      <c r="A30" s="22" t="s">
        <v>50</v>
      </c>
      <c r="B30" s="40" t="s">
        <v>464</v>
      </c>
      <c r="C30" s="40"/>
      <c r="D30" s="40"/>
    </row>
    <row r="31" customFormat="false" ht="20.25" hidden="false" customHeight="true" outlineLevel="0" collapsed="false">
      <c r="A31" s="22" t="s">
        <v>52</v>
      </c>
      <c r="B31" s="40" t="s">
        <v>465</v>
      </c>
      <c r="C31" s="40"/>
      <c r="D31" s="40"/>
    </row>
    <row r="32" customFormat="false" ht="20.25" hidden="false" customHeight="true" outlineLevel="0" collapsed="false">
      <c r="A32" s="22" t="s">
        <v>55</v>
      </c>
      <c r="B32" s="40" t="s">
        <v>466</v>
      </c>
      <c r="C32" s="40"/>
      <c r="D32" s="40"/>
    </row>
    <row r="33" customFormat="false" ht="20.25" hidden="false" customHeight="true" outlineLevel="0" collapsed="false">
      <c r="A33" s="22" t="s">
        <v>57</v>
      </c>
      <c r="B33" s="40" t="s">
        <v>467</v>
      </c>
      <c r="C33" s="40"/>
      <c r="D33" s="40"/>
    </row>
    <row r="34" customFormat="false" ht="20.25" hidden="false" customHeight="true" outlineLevel="0" collapsed="false">
      <c r="A34" s="22" t="s">
        <v>59</v>
      </c>
      <c r="B34" s="40" t="s">
        <v>220</v>
      </c>
      <c r="C34" s="40"/>
      <c r="D34" s="40"/>
    </row>
    <row r="35" customFormat="false" ht="20.25" hidden="false" customHeight="true" outlineLevel="0" collapsed="false">
      <c r="A35" s="22" t="s">
        <v>62</v>
      </c>
      <c r="B35" s="40" t="s">
        <v>468</v>
      </c>
      <c r="C35" s="40"/>
      <c r="D35" s="40"/>
    </row>
    <row r="36" customFormat="false" ht="20.25" hidden="false" customHeight="true" outlineLevel="0" collapsed="false">
      <c r="A36" s="22" t="s">
        <v>64</v>
      </c>
      <c r="B36" s="40" t="s">
        <v>469</v>
      </c>
      <c r="C36" s="40"/>
      <c r="D36" s="40"/>
    </row>
    <row r="37" customFormat="false" ht="20.25" hidden="false" customHeight="true" outlineLevel="0" collapsed="false">
      <c r="A37" s="22" t="s">
        <v>67</v>
      </c>
      <c r="B37" s="40" t="s">
        <v>470</v>
      </c>
      <c r="C37" s="40"/>
      <c r="D37" s="40"/>
    </row>
    <row r="38" customFormat="false" ht="20.25" hidden="false" customHeight="true" outlineLevel="0" collapsed="false">
      <c r="A38" s="22" t="s">
        <v>327</v>
      </c>
      <c r="B38" s="40" t="s">
        <v>471</v>
      </c>
      <c r="C38" s="40"/>
      <c r="D38" s="40"/>
    </row>
    <row r="39" customFormat="false" ht="20.25" hidden="false" customHeight="true" outlineLevel="0" collapsed="false">
      <c r="A39" s="22" t="s">
        <v>72</v>
      </c>
      <c r="B39" s="40" t="s">
        <v>472</v>
      </c>
      <c r="C39" s="40"/>
      <c r="D39" s="40"/>
    </row>
    <row r="40" customFormat="false" ht="20.25" hidden="false" customHeight="true" outlineLevel="0" collapsed="false">
      <c r="A40" s="22" t="s">
        <v>75</v>
      </c>
      <c r="B40" s="40" t="s">
        <v>473</v>
      </c>
      <c r="C40" s="40"/>
      <c r="D40" s="40"/>
    </row>
    <row r="41" customFormat="false" ht="20.25" hidden="false" customHeight="true" outlineLevel="0" collapsed="false">
      <c r="A41" s="22" t="s">
        <v>78</v>
      </c>
      <c r="B41" s="40" t="s">
        <v>474</v>
      </c>
      <c r="C41" s="40"/>
      <c r="D41" s="40"/>
    </row>
    <row r="42" customFormat="false" ht="20.25" hidden="false" customHeight="true" outlineLevel="0" collapsed="false">
      <c r="A42" s="22" t="s">
        <v>81</v>
      </c>
      <c r="B42" s="40" t="s">
        <v>475</v>
      </c>
      <c r="C42" s="40"/>
      <c r="D42" s="40"/>
    </row>
    <row r="43" customFormat="false" ht="20.25" hidden="false" customHeight="true" outlineLevel="0" collapsed="false">
      <c r="A43" s="22" t="s">
        <v>7</v>
      </c>
      <c r="B43" s="40" t="s">
        <v>476</v>
      </c>
      <c r="C43" s="40"/>
      <c r="D43" s="40"/>
    </row>
    <row r="44" customFormat="false" ht="20.25" hidden="false" customHeight="true" outlineLevel="0" collapsed="false">
      <c r="A44" s="22" t="s">
        <v>337</v>
      </c>
      <c r="B44" s="40" t="s">
        <v>477</v>
      </c>
      <c r="C44" s="40"/>
      <c r="D44" s="40"/>
    </row>
    <row r="45" customFormat="false" ht="20.25" hidden="false" customHeight="true" outlineLevel="0" collapsed="false">
      <c r="A45" s="22" t="s">
        <v>340</v>
      </c>
      <c r="B45" s="40" t="s">
        <v>478</v>
      </c>
      <c r="C45" s="40"/>
      <c r="D45" s="40"/>
    </row>
    <row r="46" customFormat="false" ht="20.25" hidden="false" customHeight="true" outlineLevel="0" collapsed="false">
      <c r="A46" s="24"/>
      <c r="B46" s="38" t="s">
        <v>479</v>
      </c>
      <c r="C46" s="39" t="s">
        <v>480</v>
      </c>
      <c r="D46" s="39" t="s">
        <v>3</v>
      </c>
    </row>
    <row r="47" customFormat="false" ht="20.25" hidden="false" customHeight="true" outlineLevel="0" collapsed="false">
      <c r="A47" s="22" t="s">
        <v>5</v>
      </c>
      <c r="B47" s="40" t="s">
        <v>481</v>
      </c>
      <c r="C47" s="40"/>
      <c r="D47" s="40"/>
    </row>
    <row r="48" customFormat="false" ht="20.25" hidden="false" customHeight="true" outlineLevel="0" collapsed="false">
      <c r="A48" s="22" t="s">
        <v>9</v>
      </c>
      <c r="B48" s="40" t="s">
        <v>482</v>
      </c>
      <c r="C48" s="40"/>
      <c r="D48" s="40"/>
    </row>
    <row r="49" customFormat="false" ht="20.25" hidden="false" customHeight="true" outlineLevel="0" collapsed="false">
      <c r="A49" s="22" t="s">
        <v>12</v>
      </c>
      <c r="B49" s="40" t="s">
        <v>483</v>
      </c>
      <c r="C49" s="40"/>
      <c r="D49" s="40"/>
    </row>
    <row r="50" customFormat="false" ht="20.25" hidden="false" customHeight="true" outlineLevel="0" collapsed="false">
      <c r="A50" s="22" t="s">
        <v>14</v>
      </c>
      <c r="B50" s="40" t="s">
        <v>484</v>
      </c>
      <c r="C50" s="40"/>
      <c r="D50" s="40"/>
    </row>
    <row r="51" customFormat="false" ht="20.25" hidden="false" customHeight="true" outlineLevel="0" collapsed="false">
      <c r="A51" s="22" t="s">
        <v>17</v>
      </c>
      <c r="B51" s="40" t="s">
        <v>485</v>
      </c>
      <c r="C51" s="40"/>
      <c r="D51" s="40"/>
    </row>
    <row r="52" customFormat="false" ht="20.25" hidden="false" customHeight="true" outlineLevel="0" collapsed="false">
      <c r="A52" s="22" t="s">
        <v>20</v>
      </c>
      <c r="B52" s="40" t="s">
        <v>486</v>
      </c>
      <c r="C52" s="40"/>
      <c r="D52" s="40"/>
    </row>
    <row r="53" customFormat="false" ht="20.25" hidden="false" customHeight="true" outlineLevel="0" collapsed="false">
      <c r="A53" s="22" t="s">
        <v>23</v>
      </c>
      <c r="B53" s="40" t="s">
        <v>487</v>
      </c>
      <c r="C53" s="40"/>
      <c r="D53" s="40"/>
    </row>
    <row r="54" customFormat="false" ht="20.25" hidden="false" customHeight="true" outlineLevel="0" collapsed="false">
      <c r="A54" s="22" t="s">
        <v>26</v>
      </c>
      <c r="B54" s="40" t="s">
        <v>488</v>
      </c>
      <c r="C54" s="40"/>
      <c r="D54" s="40"/>
    </row>
    <row r="55" customFormat="false" ht="20.25" hidden="false" customHeight="true" outlineLevel="0" collapsed="false">
      <c r="A55" s="22" t="s">
        <v>29</v>
      </c>
      <c r="B55" s="40" t="s">
        <v>489</v>
      </c>
      <c r="C55" s="40"/>
      <c r="D55" s="40"/>
    </row>
    <row r="56" customFormat="false" ht="20.25" hidden="false" customHeight="true" outlineLevel="0" collapsed="false">
      <c r="A56" s="22" t="s">
        <v>32</v>
      </c>
      <c r="B56" s="40" t="s">
        <v>490</v>
      </c>
      <c r="C56" s="40"/>
      <c r="D56" s="40"/>
    </row>
    <row r="57" customFormat="false" ht="20.25" hidden="false" customHeight="true" outlineLevel="0" collapsed="false">
      <c r="A57" s="24"/>
      <c r="B57" s="38" t="s">
        <v>491</v>
      </c>
      <c r="C57" s="39" t="s">
        <v>480</v>
      </c>
      <c r="D57" s="39" t="s">
        <v>3</v>
      </c>
    </row>
    <row r="58" customFormat="false" ht="20.25" hidden="false" customHeight="true" outlineLevel="0" collapsed="false">
      <c r="A58" s="22" t="s">
        <v>5</v>
      </c>
      <c r="B58" s="40" t="s">
        <v>492</v>
      </c>
      <c r="C58" s="40"/>
      <c r="D58" s="40"/>
    </row>
    <row r="59" customFormat="false" ht="20.25" hidden="false" customHeight="true" outlineLevel="0" collapsed="false">
      <c r="A59" s="22" t="s">
        <v>9</v>
      </c>
      <c r="B59" s="40" t="s">
        <v>493</v>
      </c>
      <c r="C59" s="40"/>
      <c r="D59" s="40"/>
    </row>
    <row r="60" customFormat="false" ht="20.25" hidden="false" customHeight="true" outlineLevel="0" collapsed="false">
      <c r="A60" s="22" t="s">
        <v>12</v>
      </c>
      <c r="B60" s="40" t="s">
        <v>494</v>
      </c>
      <c r="C60" s="40"/>
      <c r="D60" s="40"/>
    </row>
    <row r="61" customFormat="false" ht="20.25" hidden="false" customHeight="true" outlineLevel="0" collapsed="false">
      <c r="A61" s="22" t="s">
        <v>14</v>
      </c>
      <c r="B61" s="40" t="s">
        <v>495</v>
      </c>
      <c r="C61" s="40"/>
      <c r="D61" s="40"/>
    </row>
    <row r="62" customFormat="false" ht="20.25" hidden="false" customHeight="true" outlineLevel="0" collapsed="false">
      <c r="A62" s="22" t="s">
        <v>17</v>
      </c>
      <c r="B62" s="40" t="s">
        <v>496</v>
      </c>
      <c r="C62" s="40"/>
      <c r="D62" s="40"/>
    </row>
    <row r="63" customFormat="false" ht="20.25" hidden="false" customHeight="true" outlineLevel="0" collapsed="false">
      <c r="A63" s="22" t="s">
        <v>20</v>
      </c>
      <c r="B63" s="40" t="s">
        <v>497</v>
      </c>
      <c r="C63" s="40"/>
      <c r="D63" s="40"/>
    </row>
    <row r="64" customFormat="false" ht="20.25" hidden="false" customHeight="true" outlineLevel="0" collapsed="false">
      <c r="A64" s="22" t="s">
        <v>23</v>
      </c>
      <c r="B64" s="40" t="s">
        <v>498</v>
      </c>
      <c r="C64" s="40"/>
      <c r="D64" s="40"/>
    </row>
    <row r="65" customFormat="false" ht="20.25" hidden="false" customHeight="true" outlineLevel="0" collapsed="false">
      <c r="A65" s="22" t="s">
        <v>26</v>
      </c>
      <c r="B65" s="40" t="s">
        <v>129</v>
      </c>
      <c r="C65" s="40"/>
      <c r="D65" s="40"/>
    </row>
    <row r="66" customFormat="false" ht="20.25" hidden="false" customHeight="true" outlineLevel="0" collapsed="false">
      <c r="A66" s="22" t="s">
        <v>29</v>
      </c>
      <c r="B66" s="40" t="s">
        <v>499</v>
      </c>
      <c r="C66" s="40"/>
      <c r="D66" s="40"/>
    </row>
    <row r="67" customFormat="false" ht="20.25" hidden="false" customHeight="true" outlineLevel="0" collapsed="false">
      <c r="A67" s="22" t="s">
        <v>32</v>
      </c>
      <c r="B67" s="40" t="s">
        <v>500</v>
      </c>
      <c r="C67" s="40"/>
      <c r="D67" s="40"/>
    </row>
    <row r="68" customFormat="false" ht="20.25" hidden="false" customHeight="true" outlineLevel="0" collapsed="false">
      <c r="A68" s="22" t="s">
        <v>35</v>
      </c>
      <c r="B68" s="40" t="s">
        <v>501</v>
      </c>
      <c r="C68" s="40"/>
      <c r="D68" s="40"/>
    </row>
    <row r="69" customFormat="false" ht="20.25" hidden="false" customHeight="true" outlineLevel="0" collapsed="false">
      <c r="A69" s="22" t="s">
        <v>38</v>
      </c>
      <c r="B69" s="40" t="s">
        <v>502</v>
      </c>
      <c r="C69" s="40"/>
      <c r="D69" s="40"/>
    </row>
    <row r="70" customFormat="false" ht="20.25" hidden="false" customHeight="true" outlineLevel="0" collapsed="false">
      <c r="A70" s="24"/>
      <c r="B70" s="39" t="s">
        <v>503</v>
      </c>
      <c r="C70" s="39" t="s">
        <v>480</v>
      </c>
      <c r="D70" s="39" t="s">
        <v>3</v>
      </c>
    </row>
    <row r="71" customFormat="false" ht="20.25" hidden="false" customHeight="true" outlineLevel="0" collapsed="false">
      <c r="A71" s="22" t="s">
        <v>5</v>
      </c>
      <c r="B71" s="40" t="s">
        <v>504</v>
      </c>
      <c r="C71" s="40"/>
      <c r="D71" s="40"/>
    </row>
    <row r="72" customFormat="false" ht="20.25" hidden="false" customHeight="true" outlineLevel="0" collapsed="false">
      <c r="A72" s="22" t="s">
        <v>9</v>
      </c>
      <c r="B72" s="40" t="s">
        <v>505</v>
      </c>
      <c r="C72" s="40"/>
      <c r="D72" s="40"/>
    </row>
    <row r="73" customFormat="false" ht="20.25" hidden="false" customHeight="true" outlineLevel="0" collapsed="false">
      <c r="A73" s="22" t="s">
        <v>12</v>
      </c>
      <c r="B73" s="40" t="s">
        <v>506</v>
      </c>
      <c r="C73" s="40"/>
      <c r="D73" s="40"/>
    </row>
    <row r="74" customFormat="false" ht="20.25" hidden="false" customHeight="true" outlineLevel="0" collapsed="false">
      <c r="A74" s="22" t="s">
        <v>14</v>
      </c>
      <c r="B74" s="40" t="s">
        <v>507</v>
      </c>
      <c r="C74" s="40"/>
      <c r="D74" s="40"/>
    </row>
    <row r="75" customFormat="false" ht="20.25" hidden="false" customHeight="true" outlineLevel="0" collapsed="false">
      <c r="A75" s="22" t="s">
        <v>17</v>
      </c>
      <c r="B75" s="40" t="s">
        <v>508</v>
      </c>
      <c r="C75" s="40"/>
      <c r="D75" s="40"/>
    </row>
    <row r="76" customFormat="false" ht="20.25" hidden="false" customHeight="true" outlineLevel="0" collapsed="false">
      <c r="A76" s="22" t="s">
        <v>20</v>
      </c>
      <c r="B76" s="40" t="s">
        <v>509</v>
      </c>
      <c r="C76" s="40"/>
      <c r="D76" s="40"/>
    </row>
    <row r="77" customFormat="false" ht="20.25" hidden="false" customHeight="true" outlineLevel="0" collapsed="false">
      <c r="A77" s="22" t="s">
        <v>23</v>
      </c>
      <c r="B77" s="40" t="s">
        <v>273</v>
      </c>
      <c r="C77" s="40"/>
      <c r="D77" s="40"/>
    </row>
    <row r="78" customFormat="false" ht="20.25" hidden="false" customHeight="true" outlineLevel="0" collapsed="false">
      <c r="A78" s="22" t="s">
        <v>26</v>
      </c>
      <c r="B78" s="40" t="s">
        <v>277</v>
      </c>
      <c r="C78" s="40"/>
      <c r="D78" s="40"/>
    </row>
    <row r="79" customFormat="false" ht="15" hidden="false" customHeight="false" outlineLevel="0" collapsed="false">
      <c r="A79" s="30"/>
      <c r="B79" s="30"/>
      <c r="C79" s="41"/>
      <c r="D79" s="41"/>
    </row>
  </sheetData>
  <hyperlinks>
    <hyperlink ref="B2" r:id="rId1" display="Avoid Coprime Game"/>
    <hyperlink ref="B3" r:id="rId2" display="Eden 的博弈树"/>
    <hyperlink ref="B4" r:id="rId3" display="小 B 的面包"/>
    <hyperlink ref="B5" r:id="rId4" display="Berzerk"/>
    <hyperlink ref="B6" r:id="rId5" display="时光的流逝"/>
    <hyperlink ref="B7" r:id="rId6" display="过河卒"/>
    <hyperlink ref="B8" r:id="rId7" display="填数游戏"/>
    <hyperlink ref="B9" r:id="rId8" display="E&amp;D"/>
    <hyperlink ref="B10" r:id="rId9" display="高手过招"/>
    <hyperlink ref="B11" r:id="rId10" display="让"/>
    <hyperlink ref="B12" r:id="rId11" display="Bacterial Tactics"/>
    <hyperlink ref="B13" r:id="rId12" display="No Game No Life"/>
    <hyperlink ref="B15" r:id="rId13" display="扩展中国剩余定理（EXCRT）"/>
    <hyperlink ref="B16" r:id="rId14" display="屠龙勇士"/>
    <hyperlink ref="B17" r:id="rId15" display="任意模数多项式乘法"/>
    <hyperlink ref="B18" r:id="rId16" display="白兔之舞"/>
    <hyperlink ref="B19" r:id="rId17" display="XOR and Number Theory"/>
    <hyperlink ref="B20" r:id="rId18" display="卢卡斯定理 / Lucas 定理"/>
    <hyperlink ref="B21" r:id="rId19" display="古代猪文"/>
    <hyperlink ref="B22" r:id="rId20" display="苍蓝月"/>
    <hyperlink ref="B23" r:id="rId21" display="扩展卢卡斯定理 / exLucas"/>
    <hyperlink ref="B24" r:id="rId22" display="上帝与集合的正确用法"/>
    <hyperlink ref="B25" r:id="rId23" display="炸脖龙 I"/>
    <hyperlink ref="B26" r:id="rId24" display="相逢是问候"/>
    <hyperlink ref="B27" r:id="rId25" display="原根"/>
    <hyperlink ref="B28" r:id="rId26" display="Product Modulo"/>
    <hyperlink ref="B29" r:id="rId27" display="BSGS / [TJOI2007] 可爱的质数"/>
    <hyperlink ref="B30" r:id="rId28" display="多少个 1？"/>
    <hyperlink ref="B31" r:id="rId29" display="游戏的得分"/>
    <hyperlink ref="B32" r:id="rId30" display="变换，反演"/>
    <hyperlink ref="B33" r:id="rId31" display="红包"/>
    <hyperlink ref="B34" r:id="rId32" display="杜教筛"/>
    <hyperlink ref="B35" r:id="rId33" display="大豆"/>
    <hyperlink ref="B36" r:id="rId34" display="Crash的数字表格 / JZPTAB"/>
    <hyperlink ref="B37" r:id="rId35" display="简单的数学题"/>
    <hyperlink ref="B38" r:id="rId36" display="于神之怒加强版"/>
    <hyperlink ref="B39" r:id="rId37" display="约数个数和"/>
    <hyperlink ref="B40" r:id="rId38" display="一个人的数论"/>
    <hyperlink ref="B41" r:id="rId39" display="Product"/>
    <hyperlink ref="B42" r:id="rId40" display="毒瘤之神的考验"/>
    <hyperlink ref="B43" r:id="rId41" display="循环之美"/>
    <hyperlink ref="B44" r:id="rId42" display="幽灵乐团 / 莫比乌斯反演基础练习题"/>
    <hyperlink ref="B45" r:id="rId43" display="吉夫特"/>
    <hyperlink ref="B47" r:id="rId44" display="让我们赢得选举 / Let's Win the Election"/>
    <hyperlink ref="B48" r:id="rId45" display="Similar Permutation"/>
    <hyperlink ref="B49" r:id="rId46" display="沉玉谷 / jade"/>
    <hyperlink ref="B50" r:id="rId47" display="Contests"/>
    <hyperlink ref="B51" r:id="rId48" display="At Most 2 Colors"/>
    <hyperlink ref="B52" r:id="rId49" display="Zero-Sum Ranges 2"/>
    <hyperlink ref="B53" r:id="rId50" display="复制粘贴 3 / Copy and Paste 3"/>
    <hyperlink ref="B54" r:id="rId51" display="滑雪 2 / Ski 2"/>
    <hyperlink ref="B55" r:id="rId52" display="Lanterns"/>
    <hyperlink ref="B56" r:id="rId53" display="Three Permutations"/>
    <hyperlink ref="B58" r:id="rId54" display="Tree I"/>
    <hyperlink ref="B59" r:id="rId55" display="Raper"/>
    <hyperlink ref="B60" r:id="rId56" display="玩具装箱"/>
    <hyperlink ref="B61" r:id="rId57" display="Land Acquisition G"/>
    <hyperlink ref="B62" r:id="rId58" display="Sequence (Day1)"/>
    <hyperlink ref="B63" r:id="rId59" display="Lightning Conductor"/>
    <hyperlink ref="B64" r:id="rId60" display="诗人小G"/>
    <hyperlink ref="B65" r:id="rId61" display="动态 DP"/>
    <hyperlink ref="B66" r:id="rId62" display="Building Bridges"/>
    <hyperlink ref="B67" r:id="rId63" display="Safety"/>
    <hyperlink ref="B68" r:id="rId64" display="邮局 加强版"/>
    <hyperlink ref="B69" r:id="rId65" display="种树"/>
    <hyperlink ref="B71" r:id="rId66" display="州区划分"/>
    <hyperlink ref="B72" r:id="rId67" display="人形演舞"/>
    <hyperlink ref="B73" r:id="rId68" display="Nim Counting"/>
    <hyperlink ref="B74" r:id="rId69" display="Or Plus Max"/>
    <hyperlink ref="B75" r:id="rId70" display="3^N Minesweeper"/>
    <hyperlink ref="B76" r:id="rId71" display="Sum the Fibonacci"/>
    <hyperlink ref="B77" r:id="rId72" display="子集卷积"/>
    <hyperlink ref="B78" r:id="rId73" display="快速莫比乌斯 / 沃尔什变换 (FMT / FW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true" showOutlineSymbols="true" defaultGridColor="true" view="normal" topLeftCell="A13" colorId="64" zoomScale="110" zoomScaleNormal="110" zoomScalePageLayoutView="100" workbookViewId="0">
      <selection pane="topLeft" activeCell="F23" activeCellId="0" sqref="F23"/>
    </sheetView>
  </sheetViews>
  <sheetFormatPr defaultColWidth="10.4921875" defaultRowHeight="19.85" customHeight="true" zeroHeight="false" outlineLevelRow="0" outlineLevelCol="0"/>
  <cols>
    <col collapsed="false" customWidth="false" hidden="false" outlineLevel="0" max="1" min="1" style="42" width="10.49"/>
    <col collapsed="false" customWidth="true" hidden="false" outlineLevel="0" max="2" min="2" style="42" width="26"/>
    <col collapsed="false" customWidth="false" hidden="false" outlineLevel="0" max="5" min="3" style="42" width="10.49"/>
    <col collapsed="false" customWidth="true" hidden="false" outlineLevel="0" max="6" min="6" style="42" width="41.2"/>
    <col collapsed="false" customWidth="false" hidden="false" outlineLevel="0" max="16384" min="7" style="42" width="10.49"/>
  </cols>
  <sheetData>
    <row r="1" customFormat="false" ht="19.85" hidden="false" customHeight="true" outlineLevel="0" collapsed="false">
      <c r="A1" s="42" t="s">
        <v>510</v>
      </c>
      <c r="B1" s="43" t="s">
        <v>511</v>
      </c>
      <c r="C1" s="42" t="s">
        <v>512</v>
      </c>
      <c r="D1" s="42" t="s">
        <v>513</v>
      </c>
      <c r="E1" s="42" t="s">
        <v>514</v>
      </c>
      <c r="F1" s="42" t="s">
        <v>515</v>
      </c>
    </row>
    <row r="2" customFormat="false" ht="19.85" hidden="false" customHeight="true" outlineLevel="0" collapsed="false">
      <c r="A2" s="42" t="n">
        <v>3</v>
      </c>
      <c r="B2" s="44" t="s">
        <v>516</v>
      </c>
      <c r="C2" s="45" t="s">
        <v>517</v>
      </c>
      <c r="D2" s="45" t="s">
        <v>518</v>
      </c>
      <c r="E2" s="42" t="n">
        <v>2</v>
      </c>
    </row>
    <row r="3" customFormat="false" ht="19.85" hidden="false" customHeight="true" outlineLevel="0" collapsed="false">
      <c r="A3" s="42" t="n">
        <v>3</v>
      </c>
      <c r="B3" s="44" t="s">
        <v>519</v>
      </c>
      <c r="C3" s="45" t="s">
        <v>520</v>
      </c>
      <c r="D3" s="45" t="s">
        <v>521</v>
      </c>
      <c r="E3" s="42" t="n">
        <v>0</v>
      </c>
    </row>
    <row r="4" customFormat="false" ht="19.85" hidden="false" customHeight="true" outlineLevel="0" collapsed="false">
      <c r="A4" s="42" t="n">
        <v>3</v>
      </c>
      <c r="B4" s="44" t="s">
        <v>522</v>
      </c>
      <c r="C4" s="45" t="s">
        <v>523</v>
      </c>
      <c r="D4" s="45" t="s">
        <v>524</v>
      </c>
      <c r="E4" s="42" t="n">
        <v>4</v>
      </c>
    </row>
    <row r="5" customFormat="false" ht="19.85" hidden="false" customHeight="true" outlineLevel="0" collapsed="false">
      <c r="A5" s="42" t="n">
        <v>3</v>
      </c>
      <c r="B5" s="44" t="s">
        <v>519</v>
      </c>
      <c r="C5" s="45" t="s">
        <v>525</v>
      </c>
      <c r="D5" s="45" t="s">
        <v>526</v>
      </c>
      <c r="E5" s="42" t="n">
        <v>1</v>
      </c>
    </row>
    <row r="6" customFormat="false" ht="19.85" hidden="false" customHeight="true" outlineLevel="0" collapsed="false">
      <c r="A6" s="42" t="n">
        <v>3</v>
      </c>
      <c r="B6" s="44" t="s">
        <v>522</v>
      </c>
      <c r="C6" s="45" t="s">
        <v>527</v>
      </c>
      <c r="D6" s="45" t="s">
        <v>528</v>
      </c>
      <c r="E6" s="42" t="n">
        <v>0</v>
      </c>
      <c r="F6" s="45" t="s">
        <v>529</v>
      </c>
      <c r="G6" s="46"/>
    </row>
    <row r="7" customFormat="false" ht="19.85" hidden="false" customHeight="true" outlineLevel="0" collapsed="false">
      <c r="A7" s="42" t="n">
        <v>3</v>
      </c>
      <c r="B7" s="44" t="s">
        <v>522</v>
      </c>
      <c r="C7" s="47" t="s">
        <v>530</v>
      </c>
      <c r="D7" s="45" t="s">
        <v>531</v>
      </c>
      <c r="E7" s="42" t="n">
        <v>1</v>
      </c>
    </row>
    <row r="8" customFormat="false" ht="19.85" hidden="false" customHeight="true" outlineLevel="0" collapsed="false">
      <c r="A8" s="42" t="n">
        <v>3</v>
      </c>
      <c r="B8" s="44" t="s">
        <v>532</v>
      </c>
      <c r="C8" s="45" t="s">
        <v>533</v>
      </c>
      <c r="D8" s="45" t="s">
        <v>534</v>
      </c>
      <c r="E8" s="42" t="n">
        <v>0</v>
      </c>
    </row>
    <row r="9" customFormat="false" ht="19.85" hidden="false" customHeight="true" outlineLevel="0" collapsed="false">
      <c r="A9" s="42" t="n">
        <v>3</v>
      </c>
      <c r="B9" s="44" t="s">
        <v>535</v>
      </c>
      <c r="C9" s="45" t="s">
        <v>536</v>
      </c>
      <c r="D9" s="45" t="s">
        <v>524</v>
      </c>
      <c r="E9" s="42" t="n">
        <v>1</v>
      </c>
    </row>
    <row r="10" customFormat="false" ht="19.85" hidden="false" customHeight="true" outlineLevel="0" collapsed="false">
      <c r="A10" s="42" t="n">
        <v>3</v>
      </c>
      <c r="B10" s="44" t="s">
        <v>535</v>
      </c>
      <c r="C10" s="47" t="s">
        <v>537</v>
      </c>
      <c r="D10" s="45" t="s">
        <v>538</v>
      </c>
      <c r="E10" s="42" t="n">
        <v>0</v>
      </c>
    </row>
    <row r="11" customFormat="false" ht="19.85" hidden="false" customHeight="true" outlineLevel="0" collapsed="false">
      <c r="A11" s="42" t="n">
        <v>3</v>
      </c>
      <c r="B11" s="44" t="s">
        <v>535</v>
      </c>
      <c r="C11" s="45" t="s">
        <v>539</v>
      </c>
      <c r="D11" s="45" t="s">
        <v>521</v>
      </c>
      <c r="E11" s="42" t="n">
        <v>0</v>
      </c>
    </row>
    <row r="12" customFormat="false" ht="19.85" hidden="false" customHeight="true" outlineLevel="0" collapsed="false">
      <c r="A12" s="42" t="n">
        <v>3</v>
      </c>
      <c r="B12" s="44" t="s">
        <v>540</v>
      </c>
      <c r="C12" s="45" t="s">
        <v>541</v>
      </c>
      <c r="D12" s="45" t="s">
        <v>524</v>
      </c>
      <c r="E12" s="42" t="n">
        <v>0</v>
      </c>
      <c r="F12" s="45" t="s">
        <v>542</v>
      </c>
    </row>
    <row r="13" customFormat="false" ht="19.85" hidden="false" customHeight="true" outlineLevel="0" collapsed="false">
      <c r="A13" s="42" t="n">
        <v>3</v>
      </c>
      <c r="B13" s="44" t="s">
        <v>543</v>
      </c>
      <c r="C13" s="42" t="s">
        <v>544</v>
      </c>
      <c r="D13" s="42" t="s">
        <v>545</v>
      </c>
      <c r="E13" s="42" t="n">
        <v>2</v>
      </c>
      <c r="F13" s="42" t="s">
        <v>546</v>
      </c>
    </row>
    <row r="14" customFormat="false" ht="19.85" hidden="false" customHeight="true" outlineLevel="0" collapsed="false">
      <c r="A14" s="42" t="n">
        <v>3</v>
      </c>
      <c r="B14" s="44" t="s">
        <v>547</v>
      </c>
      <c r="C14" s="42" t="s">
        <v>548</v>
      </c>
      <c r="D14" s="42" t="s">
        <v>549</v>
      </c>
      <c r="E14" s="42" t="n">
        <v>0</v>
      </c>
    </row>
    <row r="15" customFormat="false" ht="19.85" hidden="false" customHeight="true" outlineLevel="0" collapsed="false">
      <c r="A15" s="42" t="n">
        <v>3</v>
      </c>
      <c r="B15" s="44" t="s">
        <v>547</v>
      </c>
      <c r="C15" s="42" t="s">
        <v>550</v>
      </c>
      <c r="D15" s="42" t="s">
        <v>551</v>
      </c>
      <c r="E15" s="42" t="n">
        <v>0</v>
      </c>
    </row>
    <row r="16" customFormat="false" ht="19.85" hidden="false" customHeight="true" outlineLevel="0" collapsed="false">
      <c r="A16" s="42" t="n">
        <v>3</v>
      </c>
      <c r="B16" s="44" t="s">
        <v>547</v>
      </c>
      <c r="C16" s="42" t="s">
        <v>552</v>
      </c>
      <c r="D16" s="42" t="s">
        <v>553</v>
      </c>
      <c r="E16" s="42" t="n">
        <v>0</v>
      </c>
    </row>
    <row r="17" customFormat="false" ht="19.85" hidden="false" customHeight="true" outlineLevel="0" collapsed="false">
      <c r="A17" s="42" t="n">
        <v>3</v>
      </c>
      <c r="B17" s="44" t="s">
        <v>554</v>
      </c>
      <c r="C17" s="42" t="s">
        <v>555</v>
      </c>
      <c r="D17" s="42" t="s">
        <v>534</v>
      </c>
      <c r="E17" s="42" t="n">
        <v>0</v>
      </c>
    </row>
    <row r="18" customFormat="false" ht="19.85" hidden="false" customHeight="true" outlineLevel="0" collapsed="false">
      <c r="A18" s="42" t="n">
        <v>4</v>
      </c>
      <c r="B18" s="44" t="s">
        <v>556</v>
      </c>
      <c r="C18" s="42" t="s">
        <v>557</v>
      </c>
      <c r="D18" s="42" t="s">
        <v>531</v>
      </c>
      <c r="E18" s="42" t="n">
        <v>1</v>
      </c>
    </row>
    <row r="19" customFormat="false" ht="19.85" hidden="false" customHeight="true" outlineLevel="0" collapsed="false">
      <c r="A19" s="42" t="n">
        <v>4</v>
      </c>
      <c r="B19" s="44" t="s">
        <v>558</v>
      </c>
      <c r="C19" s="42" t="s">
        <v>559</v>
      </c>
      <c r="D19" s="42" t="s">
        <v>531</v>
      </c>
      <c r="E19" s="42" t="n">
        <v>2</v>
      </c>
    </row>
    <row r="20" customFormat="false" ht="19.85" hidden="false" customHeight="true" outlineLevel="0" collapsed="false">
      <c r="A20" s="42" t="n">
        <v>4</v>
      </c>
      <c r="B20" s="44" t="s">
        <v>560</v>
      </c>
      <c r="C20" s="42" t="s">
        <v>561</v>
      </c>
      <c r="D20" s="42" t="s">
        <v>521</v>
      </c>
      <c r="E20" s="42" t="n">
        <v>0</v>
      </c>
    </row>
    <row r="21" customFormat="false" ht="19.85" hidden="false" customHeight="true" outlineLevel="0" collapsed="false">
      <c r="A21" s="42" t="n">
        <v>4</v>
      </c>
      <c r="B21" s="44" t="s">
        <v>560</v>
      </c>
      <c r="C21" s="42" t="s">
        <v>562</v>
      </c>
      <c r="D21" s="42" t="s">
        <v>534</v>
      </c>
      <c r="E21" s="42" t="n">
        <v>5</v>
      </c>
    </row>
    <row r="22" customFormat="false" ht="19.85" hidden="false" customHeight="true" outlineLevel="0" collapsed="false">
      <c r="A22" s="42" t="n">
        <v>3</v>
      </c>
      <c r="B22" s="44" t="s">
        <v>563</v>
      </c>
      <c r="C22" s="42" t="s">
        <v>564</v>
      </c>
      <c r="D22" s="42" t="s">
        <v>565</v>
      </c>
      <c r="E22" s="42" t="n">
        <v>3</v>
      </c>
    </row>
    <row r="23" customFormat="false" ht="19.85" hidden="false" customHeight="true" outlineLevel="0" collapsed="false">
      <c r="A23" s="42" t="n">
        <v>3</v>
      </c>
      <c r="B23" s="44" t="s">
        <v>566</v>
      </c>
      <c r="C23" s="48" t="s">
        <v>567</v>
      </c>
      <c r="D23" s="42" t="s">
        <v>549</v>
      </c>
      <c r="E23" s="42" t="n">
        <v>2</v>
      </c>
    </row>
    <row r="24" customFormat="false" ht="19.85" hidden="false" customHeight="true" outlineLevel="0" collapsed="false">
      <c r="A24" s="42" t="n">
        <v>3</v>
      </c>
      <c r="B24" s="44" t="s">
        <v>566</v>
      </c>
      <c r="C24" s="42" t="s">
        <v>568</v>
      </c>
      <c r="D24" s="42" t="s">
        <v>569</v>
      </c>
      <c r="E24" s="42" t="n">
        <v>1</v>
      </c>
    </row>
    <row r="25" customFormat="false" ht="19.85" hidden="false" customHeight="true" outlineLevel="0" collapsed="false">
      <c r="A25" s="42" t="n">
        <v>4</v>
      </c>
      <c r="B25" s="44" t="s">
        <v>570</v>
      </c>
      <c r="C25" s="42" t="s">
        <v>571</v>
      </c>
      <c r="D25" s="42" t="s">
        <v>534</v>
      </c>
      <c r="E25" s="42" t="n">
        <v>0</v>
      </c>
    </row>
    <row r="26" customFormat="false" ht="19.85" hidden="false" customHeight="true" outlineLevel="0" collapsed="false">
      <c r="A26" s="42" t="n">
        <v>3</v>
      </c>
      <c r="B26" s="44" t="s">
        <v>572</v>
      </c>
      <c r="C26" s="42" t="s">
        <v>573</v>
      </c>
      <c r="D26" s="42" t="s">
        <v>524</v>
      </c>
      <c r="E26" s="42" t="n">
        <v>1</v>
      </c>
    </row>
    <row r="27" customFormat="false" ht="19.85" hidden="false" customHeight="true" outlineLevel="0" collapsed="false">
      <c r="A27" s="42" t="n">
        <v>3</v>
      </c>
      <c r="B27" s="44" t="s">
        <v>574</v>
      </c>
      <c r="C27" s="42" t="s">
        <v>575</v>
      </c>
      <c r="D27" s="42" t="s">
        <v>576</v>
      </c>
      <c r="E27" s="42" t="n">
        <v>0</v>
      </c>
    </row>
    <row r="28" customFormat="false" ht="19.85" hidden="false" customHeight="true" outlineLevel="0" collapsed="false">
      <c r="A28" s="42" t="n">
        <v>4</v>
      </c>
      <c r="B28" s="44" t="s">
        <v>577</v>
      </c>
      <c r="C28" s="42" t="s">
        <v>578</v>
      </c>
      <c r="D28" s="42" t="s">
        <v>579</v>
      </c>
      <c r="E28" s="42" t="n">
        <v>1</v>
      </c>
    </row>
    <row r="29" customFormat="false" ht="19.85" hidden="false" customHeight="true" outlineLevel="0" collapsed="false">
      <c r="A29" s="42" t="n">
        <v>4</v>
      </c>
      <c r="B29" s="44" t="s">
        <v>146</v>
      </c>
      <c r="C29" s="42" t="s">
        <v>580</v>
      </c>
      <c r="D29" s="42" t="s">
        <v>581</v>
      </c>
      <c r="E29" s="42" t="n">
        <v>0</v>
      </c>
    </row>
    <row r="30" customFormat="false" ht="19.85" hidden="false" customHeight="true" outlineLevel="0" collapsed="false">
      <c r="A30" s="42" t="n">
        <v>4</v>
      </c>
      <c r="B30" s="44" t="s">
        <v>146</v>
      </c>
      <c r="C30" s="42" t="s">
        <v>582</v>
      </c>
      <c r="D30" s="42" t="s">
        <v>549</v>
      </c>
      <c r="E30" s="42" t="n">
        <v>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Roman,标准"&amp;12&amp;Kffffff&amp;A</oddHeader>
    <oddFooter>&amp;C&amp;"Times New Roman,标准"&amp;12&amp;Kffffff页 &amp;P</oddFooter>
  </headerFooter>
</worksheet>
</file>

<file path=docProps/app.xml><?xml version="1.0" encoding="utf-8"?>
<Properties xmlns="http://schemas.openxmlformats.org/officeDocument/2006/extended-properties" xmlns:vt="http://schemas.openxmlformats.org/officeDocument/2006/docPropsVTypes">
  <Template/>
  <TotalTime>2324</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2026-09-30T08:45:31Z</dcterms:created>
  <dc:creator>Unknown</dc:creator>
  <dc:description/>
  <dc:language>zh-CN</dc:language>
  <cp:lastModifiedBy/>
  <dcterms:modified xsi:type="dcterms:W3CDTF">2026-10-09T21:32:03Z</dcterms:modified>
  <cp:revision>93</cp:revision>
  <dc:subject/>
  <dc:title/>
</cp:coreProperties>
</file>

<file path=docProps/custom.xml><?xml version="1.0" encoding="utf-8"?>
<Properties xmlns="http://schemas.openxmlformats.org/officeDocument/2006/custom-properties" xmlns:vt="http://schemas.openxmlformats.org/officeDocument/2006/docPropsVTypes"/>
</file>